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IC_Dashboard" sheetId="1" state="visible" r:id="rId1"/>
    <sheet xmlns:r="http://schemas.openxmlformats.org/officeDocument/2006/relationships" name="2_Master_90_Parameters" sheetId="2" state="visible" r:id="rId2"/>
    <sheet xmlns:r="http://schemas.openxmlformats.org/officeDocument/2006/relationships" name="3_CAMS_3Statement_DCF" sheetId="3" state="visible" r:id="rId3"/>
    <sheet xmlns:r="http://schemas.openxmlformats.org/officeDocument/2006/relationships" name="4_Peer_Valuation_DD" sheetId="4" state="visible" r:id="rId4"/>
    <sheet xmlns:r="http://schemas.openxmlformats.org/officeDocument/2006/relationships" name="5_Scenarios_Sensitiv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"/>
    <numFmt numFmtId="165" formatCode="+0.0%;-0.0%;0.0%"/>
    <numFmt numFmtId="166" formatCode="0.00&quot;x&quot;"/>
    <numFmt numFmtId="167" formatCode="0.0&quot;x&quot;"/>
    <numFmt numFmtId="168" formatCode="0.0%"/>
    <numFmt numFmtId="169" formatCode="0.0"/>
    <numFmt numFmtId="170" formatCode="₹#,##0.0"/>
    <numFmt numFmtId="171" formatCode="#,##0&quot; bps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172A"/>
      <sz val="10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5" fillId="0" borderId="1" pivotButton="0" quotePrefix="0" xfId="0"/>
    <xf numFmtId="164" fontId="4" fillId="0" borderId="1" pivotButton="0" quotePrefix="0" xfId="0"/>
    <xf numFmtId="164" fontId="5" fillId="5" borderId="1" pivotButton="0" quotePrefix="0" xfId="0"/>
    <xf numFmtId="0" fontId="4" fillId="0" borderId="1" pivotButton="0" quotePrefix="0" xfId="0"/>
    <xf numFmtId="164" fontId="4" fillId="4" borderId="1" pivotButton="0" quotePrefix="0" xfId="0"/>
    <xf numFmtId="165" fontId="4" fillId="0" borderId="1" pivotButton="0" quotePrefix="0" xfId="0"/>
    <xf numFmtId="165" fontId="5" fillId="5" borderId="1" pivotButton="0" quotePrefix="0" xfId="0"/>
    <xf numFmtId="166" fontId="4" fillId="0" borderId="1" pivotButton="0" quotePrefix="0" xfId="0"/>
    <xf numFmtId="166" fontId="5" fillId="5" borderId="1" pivotButton="0" quotePrefix="0" xfId="0"/>
    <xf numFmtId="167" fontId="4" fillId="4" borderId="1" pivotButton="0" quotePrefix="0" xfId="0"/>
    <xf numFmtId="167" fontId="5" fillId="5" borderId="1" pivotButton="0" quotePrefix="0" xfId="0"/>
    <xf numFmtId="167" fontId="4" fillId="0" borderId="1" pivotButton="0" quotePrefix="0" xfId="0"/>
    <xf numFmtId="168" fontId="4" fillId="4" borderId="1" pivotButton="0" quotePrefix="0" xfId="0"/>
    <xf numFmtId="168" fontId="5" fillId="5" borderId="1" pivotButton="0" quotePrefix="0" xfId="0"/>
    <xf numFmtId="168" fontId="4" fillId="0" borderId="1" pivotButton="0" quotePrefix="0" xfId="0"/>
    <xf numFmtId="169" fontId="4" fillId="4" borderId="1" pivotButton="0" quotePrefix="0" xfId="0"/>
    <xf numFmtId="169" fontId="5" fillId="5" borderId="1" pivotButton="0" quotePrefix="0" xfId="0"/>
    <xf numFmtId="0" fontId="3" fillId="3" borderId="1" applyAlignment="1" pivotButton="0" quotePrefix="0" xfId="0">
      <alignment horizontal="center"/>
    </xf>
    <xf numFmtId="0" fontId="5" fillId="0" borderId="2" pivotButton="0" quotePrefix="0" xfId="0"/>
    <xf numFmtId="168" fontId="5" fillId="0" borderId="2" pivotButton="0" quotePrefix="0" xfId="0"/>
    <xf numFmtId="164" fontId="5" fillId="0" borderId="2" pivotButton="0" quotePrefix="0" xfId="0"/>
    <xf numFmtId="0" fontId="3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applyAlignment="1" pivotButton="0" quotePrefix="0" xfId="0">
      <alignment horizontal="center"/>
    </xf>
    <xf numFmtId="2" fontId="4" fillId="4" borderId="1" pivotButton="0" quotePrefix="0" xfId="0"/>
    <xf numFmtId="2" fontId="5" fillId="4" borderId="1" pivotButton="0" quotePrefix="0" xfId="0"/>
    <xf numFmtId="2" fontId="4" fillId="0" borderId="1" pivotButton="0" quotePrefix="0" xfId="0"/>
    <xf numFmtId="3" fontId="4" fillId="4" borderId="1" pivotButton="0" quotePrefix="0" xfId="0"/>
    <xf numFmtId="3" fontId="4" fillId="0" borderId="1" pivotButton="0" quotePrefix="0" xfId="0"/>
    <xf numFmtId="0" fontId="5" fillId="7" borderId="2" pivotButton="0" quotePrefix="0" xfId="0"/>
    <xf numFmtId="3" fontId="5" fillId="7" borderId="2" pivotButton="0" quotePrefix="0" xfId="0"/>
    <xf numFmtId="3" fontId="5" fillId="4" borderId="1" pivotButton="0" quotePrefix="0" xfId="0"/>
    <xf numFmtId="3" fontId="5" fillId="0" borderId="1" pivotButton="0" quotePrefix="0" xfId="0"/>
    <xf numFmtId="170" fontId="5" fillId="0" borderId="1" pivotButton="0" quotePrefix="0" xfId="0"/>
    <xf numFmtId="168" fontId="5" fillId="0" borderId="1" pivotButton="0" quotePrefix="0" xfId="0"/>
    <xf numFmtId="164" fontId="5" fillId="0" borderId="1" pivotButton="0" quotePrefix="0" xfId="0"/>
    <xf numFmtId="164" fontId="4" fillId="5" borderId="1" pivotButton="0" quotePrefix="0" xfId="0"/>
    <xf numFmtId="2" fontId="4" fillId="5" borderId="1" pivotButton="0" quotePrefix="0" xfId="0"/>
    <xf numFmtId="0" fontId="5" fillId="7" borderId="1" pivotButton="0" quotePrefix="0" xfId="0"/>
    <xf numFmtId="164" fontId="5" fillId="7" borderId="1" pivotButton="0" quotePrefix="0" xfId="0"/>
    <xf numFmtId="167" fontId="5" fillId="7" borderId="1" pivotButton="0" quotePrefix="0" xfId="0"/>
    <xf numFmtId="167" fontId="4" fillId="5" borderId="1" pivotButton="0" quotePrefix="0" xfId="0"/>
    <xf numFmtId="168" fontId="5" fillId="7" borderId="1" pivotButton="0" quotePrefix="0" xfId="0"/>
    <xf numFmtId="1" fontId="4" fillId="0" borderId="1" pivotButton="0" quotePrefix="0" xfId="0"/>
    <xf numFmtId="1" fontId="4" fillId="5" borderId="1" pivotButton="0" quotePrefix="0" xfId="0"/>
    <xf numFmtId="170" fontId="4" fillId="0" borderId="1" pivotButton="0" quotePrefix="0" xfId="0"/>
    <xf numFmtId="170" fontId="4" fillId="5" borderId="1" pivotButton="0" quotePrefix="0" xfId="0"/>
    <xf numFmtId="169" fontId="5" fillId="7" borderId="1" pivotButton="0" quotePrefix="0" xfId="0"/>
    <xf numFmtId="165" fontId="4" fillId="5" borderId="1" pivotButton="0" quotePrefix="0" xfId="0"/>
    <xf numFmtId="165" fontId="5" fillId="0" borderId="1" pivotButton="0" quotePrefix="0" xfId="0"/>
    <xf numFmtId="171" fontId="4" fillId="0" borderId="1" pivotButton="0" quotePrefix="0" xfId="0"/>
    <xf numFmtId="171" fontId="4" fillId="5" borderId="1" pivotButton="0" quotePrefix="0" xfId="0"/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Target Price vs. CMP &amp; Bear Case (₹)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'1_Executive_IC_Dashboard'!$B$5:$E$5</f>
            </numRef>
          </cat>
          <val>
            <numRef>
              <f>'1_Executive_IC_Dashboard'!$B$7:$E$7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'1_Executive_IC_Dashboard'!$B$5:$E$5</f>
            </numRef>
          </cat>
          <val>
            <numRef>
              <f>'1_Executive_IC_Dashboard'!$B$8:$E$8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'1_Executive_IC_Dashboard'!$B$5:$E$5</f>
            </numRef>
          </cat>
          <val>
            <numRef>
              <f>'1_Executive_IC_Dashboard'!$B$9:$E$9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'1_Executive_IC_Dashboard'!$B$5:$E$5</f>
            </numRef>
          </cat>
          <val>
            <numRef>
              <f>'1_Executive_IC_Dashboard'!$B$10:$E$10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Candidate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Price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27" customWidth="1" min="3" max="3"/>
    <col width="24" customWidth="1" min="4" max="4"/>
    <col width="24" customWidth="1" min="5" max="5"/>
    <col width="42" customWidth="1" min="6" max="6"/>
    <col width="14" customWidth="1" min="7" max="7"/>
    <col width="14" customWidth="1" min="8" max="8"/>
  </cols>
  <sheetData>
    <row r="1">
      <c r="A1" s="1" t="inlineStr">
        <is>
          <t>ZECKATHON PROBLEM STATEMENT 01: EXECUTIVE IC DASHBOARD &amp; ₹500 CRORE DEPLOYMENT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2" t="inlineStr">
        <is>
          <t>Mandate: ₹500 Crore Long-Only Fund | Price Date: October 23, 2026 | Winner: CAMS Ltd (NSE: CAMS)</t>
        </is>
      </c>
    </row>
    <row r="4"/>
    <row r="5">
      <c r="A5" s="3" t="inlineStr">
        <is>
          <t>Metric / Decision Parameter</t>
        </is>
      </c>
      <c r="B5" s="3" t="inlineStr">
        <is>
          <t>BSE Ltd</t>
        </is>
      </c>
      <c r="C5" s="3" t="inlineStr">
        <is>
          <t>CDSL</t>
        </is>
      </c>
      <c r="D5" s="3" t="inlineStr">
        <is>
          <t>CAMS (WINNER)</t>
        </is>
      </c>
      <c r="E5" s="3" t="inlineStr">
        <is>
          <t>KFin Tech</t>
        </is>
      </c>
      <c r="F5" s="3" t="inlineStr">
        <is>
          <t>Institutional Rationale</t>
        </is>
      </c>
    </row>
    <row r="6">
      <c r="A6" s="4" t="inlineStr">
        <is>
          <t>Business Model</t>
        </is>
      </c>
      <c r="B6" s="5" t="inlineStr">
        <is>
          <t>Stock Exchange</t>
        </is>
      </c>
      <c r="C6" s="5" t="inlineStr">
        <is>
          <t>Depository</t>
        </is>
      </c>
      <c r="D6" s="6" t="inlineStr">
        <is>
          <t>Mutual Fund RTA</t>
        </is>
      </c>
      <c r="E6" s="5" t="inlineStr">
        <is>
          <t>Diversified RTA</t>
        </is>
      </c>
      <c r="F6" s="5" t="inlineStr">
        <is>
          <t>RTAs have highest switching costs &amp; 0% top-10 AMC churn</t>
        </is>
      </c>
    </row>
    <row r="7">
      <c r="A7" s="7" t="inlineStr">
        <is>
          <t>Current Market Price (CMP, ₹)</t>
        </is>
      </c>
      <c r="B7" s="8" t="n">
        <v>4650</v>
      </c>
      <c r="C7" s="8" t="n">
        <v>1580</v>
      </c>
      <c r="D7" s="9" t="n">
        <v>4420</v>
      </c>
      <c r="E7" s="8" t="n">
        <v>1140</v>
      </c>
      <c r="F7" s="10" t="inlineStr">
        <is>
          <t>NSE/BSE Close as of Reference Date Oct 23, 2026</t>
        </is>
      </c>
    </row>
    <row r="8">
      <c r="A8" s="4" t="inlineStr">
        <is>
          <t>12-Month Base Target Price (₹)</t>
        </is>
      </c>
      <c r="B8" s="11" t="n">
        <v>4850</v>
      </c>
      <c r="C8" s="11" t="n">
        <v>1690</v>
      </c>
      <c r="D8" s="9">
        <f>'3_CAMS_3Statement_DCF'!B44</f>
        <v/>
      </c>
      <c r="E8" s="11" t="n">
        <v>1280</v>
      </c>
      <c r="F8" s="5" t="inlineStr">
        <is>
          <t>Linked directly to 3-Statement DCF Valuation Bridge</t>
        </is>
      </c>
    </row>
    <row r="9">
      <c r="A9" s="7" t="inlineStr">
        <is>
          <t>Base Case Implied Upside (%)</t>
        </is>
      </c>
      <c r="B9" s="12">
        <f>(B8/B7)-1</f>
        <v/>
      </c>
      <c r="C9" s="12">
        <f>(C8/C7)-1</f>
        <v/>
      </c>
      <c r="D9" s="13">
        <f>(D8/D7)-1</f>
        <v/>
      </c>
      <c r="E9" s="12">
        <f>(E8/E7)-1</f>
        <v/>
      </c>
      <c r="F9" s="10" t="inlineStr">
        <is>
          <t>CAMS delivers +23.5% upside (+25.1% incl. dividend)</t>
        </is>
      </c>
    </row>
    <row r="10">
      <c r="A10" s="4" t="inlineStr">
        <is>
          <t>Mandatory Bear Target Price (₹)</t>
        </is>
      </c>
      <c r="B10" s="11" t="n">
        <v>2760</v>
      </c>
      <c r="C10" s="11" t="n">
        <v>1075</v>
      </c>
      <c r="D10" s="9" t="n">
        <v>3910</v>
      </c>
      <c r="E10" s="11" t="n">
        <v>830</v>
      </c>
      <c r="F10" s="5" t="inlineStr">
        <is>
          <t>Models -30% F&amp;O turnover &amp; -20% equity market crash</t>
        </is>
      </c>
    </row>
    <row r="11">
      <c r="A11" s="7" t="inlineStr">
        <is>
          <t>Mandatory Bear Downside (%)</t>
        </is>
      </c>
      <c r="B11" s="12">
        <f>(B10/B7)-1</f>
        <v/>
      </c>
      <c r="C11" s="12">
        <f>(C10/C7)-1</f>
        <v/>
      </c>
      <c r="D11" s="13">
        <f>(D10/D7)-1</f>
        <v/>
      </c>
      <c r="E11" s="12">
        <f>(E10/E7)-1</f>
        <v/>
      </c>
      <c r="F11" s="10" t="inlineStr">
        <is>
          <t>CAMS loses only -11.5% vs -32% to -41% for peers</t>
        </is>
      </c>
    </row>
    <row r="12">
      <c r="A12" s="4" t="inlineStr">
        <is>
          <t>Bull Case Target Price (₹)</t>
        </is>
      </c>
      <c r="B12" s="11" t="n">
        <v>5950</v>
      </c>
      <c r="C12" s="11" t="n">
        <v>2040</v>
      </c>
      <c r="D12" s="9" t="n">
        <v>6380</v>
      </c>
      <c r="E12" s="11" t="n">
        <v>1540</v>
      </c>
      <c r="F12" s="5" t="inlineStr">
        <is>
          <t>Strong SIP inflows + Non-MF scaling to 18% mix</t>
        </is>
      </c>
    </row>
    <row r="13">
      <c r="A13" s="7" t="inlineStr">
        <is>
          <t>Risk-Reward Ratio (Base Upside / Bear Downside)</t>
        </is>
      </c>
      <c r="B13" s="14">
        <f>B9/ABS(B11)</f>
        <v/>
      </c>
      <c r="C13" s="14">
        <f>C9/ABS(C11)</f>
        <v/>
      </c>
      <c r="D13" s="15">
        <f>D9/ABS(D11)</f>
        <v/>
      </c>
      <c r="E13" s="14">
        <f>E9/ABS(E11)</f>
        <v/>
      </c>
      <c r="F13" s="10" t="inlineStr">
        <is>
          <t>CAMS offers 2.04x asymmetry (Clear Institutional Winner)</t>
        </is>
      </c>
    </row>
    <row r="14">
      <c r="A14" s="4" t="inlineStr">
        <is>
          <t>FY27E P/E Multiple (x)</t>
        </is>
      </c>
      <c r="B14" s="16">
        <f>'4_Peer_Valuation_DD'!B15</f>
        <v/>
      </c>
      <c r="C14" s="16">
        <f>'4_Peer_Valuation_DD'!C15</f>
        <v/>
      </c>
      <c r="D14" s="17">
        <f>'4_Peer_Valuation_DD'!D15</f>
        <v/>
      </c>
      <c r="E14" s="16">
        <f>'4_Peer_Valuation_DD'!E15</f>
        <v/>
      </c>
      <c r="F14" s="5" t="inlineStr">
        <is>
          <t>CAMS trades at 16-18% P/E discount to all 3 peers</t>
        </is>
      </c>
    </row>
    <row r="15">
      <c r="A15" s="7" t="inlineStr">
        <is>
          <t>FY27E EV/EBITDA Multiple (x)</t>
        </is>
      </c>
      <c r="B15" s="18">
        <f>'4_Peer_Valuation_DD'!B17</f>
        <v/>
      </c>
      <c r="C15" s="18">
        <f>'4_Peer_Valuation_DD'!C17</f>
        <v/>
      </c>
      <c r="D15" s="17">
        <f>'4_Peer_Valuation_DD'!D17</f>
        <v/>
      </c>
      <c r="E15" s="18">
        <f>'4_Peer_Valuation_DD'!E17</f>
        <v/>
      </c>
      <c r="F15" s="10" t="inlineStr">
        <is>
          <t>CAMS trades at 25% EV/EBITDA discount to peers</t>
        </is>
      </c>
    </row>
    <row r="16">
      <c r="A16" s="4" t="inlineStr">
        <is>
          <t>RoIC Ex-Cash (FY26A, %)</t>
        </is>
      </c>
      <c r="B16" s="19" t="n">
        <v>0.485</v>
      </c>
      <c r="C16" s="19" t="n">
        <v>0.62</v>
      </c>
      <c r="D16" s="20" t="n">
        <v>0.784</v>
      </c>
      <c r="E16" s="19" t="n">
        <v>0.342</v>
      </c>
      <c r="F16" s="5" t="inlineStr">
        <is>
          <t>Best-in-class capital efficiency (78.4% RoIC)</t>
        </is>
      </c>
    </row>
    <row r="17">
      <c r="A17" s="7" t="inlineStr">
        <is>
          <t>FCF / PAT Conversion Ratio (%)</t>
        </is>
      </c>
      <c r="B17" s="21">
        <f>'4_Peer_Valuation_DD'!B23</f>
        <v/>
      </c>
      <c r="C17" s="21">
        <f>'4_Peer_Valuation_DD'!C23</f>
        <v/>
      </c>
      <c r="D17" s="20">
        <f>'4_Peer_Valuation_DD'!D23</f>
        <v/>
      </c>
      <c r="E17" s="21">
        <f>'4_Peer_Valuation_DD'!E23</f>
        <v/>
      </c>
      <c r="F17" s="10" t="inlineStr">
        <is>
          <t>94% cash conversion; zero aggressive software cap</t>
        </is>
      </c>
    </row>
    <row r="18">
      <c r="A18" s="4" t="inlineStr">
        <is>
          <t>Days to Deploy ₹500 Cr (@ 15% ADV)</t>
        </is>
      </c>
      <c r="B18" s="22">
        <f>'4_Peer_Valuation_DD'!B27</f>
        <v/>
      </c>
      <c r="C18" s="22">
        <f>'4_Peer_Valuation_DD'!C27</f>
        <v/>
      </c>
      <c r="D18" s="23">
        <f>'4_Peer_Valuation_DD'!D27</f>
        <v/>
      </c>
      <c r="E18" s="22">
        <f>'4_Peer_Valuation_DD'!E27</f>
        <v/>
      </c>
      <c r="F18" s="5" t="inlineStr">
        <is>
          <t>20.2 trading days (~4 weeks) with &lt;25 bps slippage</t>
        </is>
      </c>
    </row>
    <row r="19">
      <c r="A19" s="7" t="inlineStr">
        <is>
          <t>Final IC Recommendation</t>
        </is>
      </c>
      <c r="B19" s="10" t="inlineStr">
        <is>
          <t>REJECT (F&amp;O Risk)</t>
        </is>
      </c>
      <c r="C19" s="10" t="inlineStr">
        <is>
          <t>REJECT (Cyclical)</t>
        </is>
      </c>
      <c r="D19" s="6" t="inlineStr">
        <is>
          <t>BUY (₹500 Cr)</t>
        </is>
      </c>
      <c r="E19" s="10" t="inlineStr">
        <is>
          <t>REJECT (PE Overhang)</t>
        </is>
      </c>
      <c r="F19" s="10" t="inlineStr">
        <is>
          <t>100% allocation to CAMS across 3 disciplined tranches</t>
        </is>
      </c>
    </row>
    <row r="20"/>
    <row r="21">
      <c r="A21" s="2" t="inlineStr">
        <is>
          <t>₹500 CRORE EXECUTION &amp; TRANCHE DEPLOYMENT SCHEDULE (CAMS LTD)</t>
        </is>
      </c>
    </row>
    <row r="22">
      <c r="A22" s="24" t="inlineStr">
        <is>
          <t>Tranche</t>
        </is>
      </c>
      <c r="B22" s="24" t="inlineStr">
        <is>
          <t>Allocation (%)</t>
        </is>
      </c>
      <c r="C22" s="24" t="inlineStr">
        <is>
          <t>Capital Deployed (₹ Cr)</t>
        </is>
      </c>
      <c r="D22" s="24" t="inlineStr">
        <is>
          <t>Entry Price Band (₹)</t>
        </is>
      </c>
      <c r="E22" s="24" t="inlineStr">
        <is>
          <t>Implied FY28E P/E</t>
        </is>
      </c>
      <c r="F22" s="24" t="inlineStr">
        <is>
          <t>Execution Trigger &amp; Strategy</t>
        </is>
      </c>
    </row>
    <row r="23">
      <c r="A23" s="10" t="inlineStr">
        <is>
          <t>Tranche 1: Core Initiation</t>
        </is>
      </c>
      <c r="B23" s="21" t="n">
        <v>0.4</v>
      </c>
      <c r="C23" s="8">
        <f>500*B23</f>
        <v/>
      </c>
      <c r="D23" s="10" t="inlineStr">
        <is>
          <t>₹4,380 – ₹4,450</t>
        </is>
      </c>
      <c r="E23" s="10" t="inlineStr">
        <is>
          <t>30.0x</t>
        </is>
      </c>
      <c r="F23" s="10" t="inlineStr">
        <is>
          <t>Immediate VWAP execution over 8 trading days (@ 15% ADV = ₹24.75 Cr/day)</t>
        </is>
      </c>
    </row>
    <row r="24">
      <c r="A24" s="10" t="inlineStr">
        <is>
          <t>Tranche 2: Volatility Accretion</t>
        </is>
      </c>
      <c r="B24" s="21" t="n">
        <v>0.35</v>
      </c>
      <c r="C24" s="8">
        <f>500*B24</f>
        <v/>
      </c>
      <c r="D24" s="10" t="inlineStr">
        <is>
          <t>₹4,150 – ₹4,250</t>
        </is>
      </c>
      <c r="E24" s="10" t="inlineStr">
        <is>
          <t>28.5x</t>
        </is>
      </c>
      <c r="F24" s="10" t="inlineStr">
        <is>
          <t>Limit-order accumulation on 4-6% broader market pullback</t>
        </is>
      </c>
    </row>
    <row r="25">
      <c r="A25" s="10" t="inlineStr">
        <is>
          <t>Tranche 3: Catalyst Confirmation</t>
        </is>
      </c>
      <c r="B25" s="21" t="n">
        <v>0.25</v>
      </c>
      <c r="C25" s="8">
        <f>500*B25</f>
        <v/>
      </c>
      <c r="D25" s="10" t="inlineStr">
        <is>
          <t>Up to ₹4,500</t>
        </is>
      </c>
      <c r="E25" s="10" t="inlineStr">
        <is>
          <t>30.5x</t>
        </is>
      </c>
      <c r="F25" s="10" t="inlineStr">
        <is>
          <t>Post-Q3 results / SEBI TER clarity &amp; confirmation of &gt;25% Non-MF growth</t>
        </is>
      </c>
    </row>
    <row r="26">
      <c r="A26" s="25" t="inlineStr">
        <is>
          <t>Total Mandate Deployed</t>
        </is>
      </c>
      <c r="B26" s="26">
        <f>SUM(B23:B25)</f>
        <v/>
      </c>
      <c r="C26" s="27">
        <f>SUM(C23:C25)</f>
        <v/>
      </c>
      <c r="D26" s="25" t="inlineStr">
        <is>
          <t>Avg ~₹4,355</t>
        </is>
      </c>
      <c r="E26" s="25" t="inlineStr">
        <is>
          <t>29.5x</t>
        </is>
      </c>
      <c r="F26" s="25" t="inlineStr">
        <is>
          <t>Acquires ~11.31 Lakh shares (2.29% equity stake; &lt;5% disclosure limit)</t>
        </is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MASTER 90-PARAMETER INSTITUTIONAL FRAMEWORK (MAPPED TO DELIVERABLES 1-4 &amp; SOURCES)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Param #</t>
        </is>
      </c>
      <c r="B2" t="inlineStr">
        <is>
          <t>Deliverable Category</t>
        </is>
      </c>
      <c r="C2" t="inlineStr">
        <is>
          <t>Parameter Name</t>
        </is>
      </c>
      <c r="D2" t="inlineStr">
        <is>
          <t>Expected Input / Source</t>
        </is>
      </c>
      <c r="E2" t="inlineStr">
        <is>
          <t>BSE Ltd</t>
        </is>
      </c>
      <c r="F2" t="inlineStr">
        <is>
          <t>CDSL</t>
        </is>
      </c>
      <c r="G2" t="inlineStr">
        <is>
          <t>CAMS (Winner)</t>
        </is>
      </c>
      <c r="H2" t="inlineStr">
        <is>
          <t>KFin Tech</t>
        </is>
      </c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</row>
    <row r="4">
      <c r="A4" s="29" t="n">
        <v>1</v>
      </c>
      <c r="B4" s="30" t="inlineStr">
        <is>
          <t>Category 1: Industry &amp; Regulatory</t>
        </is>
      </c>
      <c r="C4" s="31" t="inlineStr">
        <is>
          <t>Primary Role in Capital Value Chain</t>
        </is>
      </c>
      <c r="D4" s="30" t="inlineStr">
        <is>
          <t>Company Disclosures / SEBI</t>
        </is>
      </c>
      <c r="E4" s="30" t="inlineStr">
        <is>
          <t>Order matching, price discovery, listing</t>
        </is>
      </c>
      <c r="F4" s="30" t="inlineStr">
        <is>
          <t>Demat custody, settlement, KYC (CVL)</t>
        </is>
      </c>
      <c r="G4" s="32" t="inlineStr">
        <is>
          <t>MF registry, SIP processing, payouts</t>
        </is>
      </c>
      <c r="H4" s="30" t="inlineStr">
        <is>
          <t>MF RTA, corporate issuer registry, global fund admin</t>
        </is>
      </c>
    </row>
    <row r="5">
      <c r="A5" s="33" t="n">
        <v>2</v>
      </c>
      <c r="B5" s="34" t="inlineStr">
        <is>
          <t>Category 1: Industry &amp; Regulatory</t>
        </is>
      </c>
      <c r="C5" s="35" t="inlineStr">
        <is>
          <t>Core Regulatory Licence</t>
        </is>
      </c>
      <c r="D5" s="34" t="inlineStr">
        <is>
          <t>SEBI Act / Depository / RTA Regs</t>
        </is>
      </c>
      <c r="E5" s="34" t="inlineStr">
        <is>
          <t>SECC Regulations (MII status)</t>
        </is>
      </c>
      <c r="F5" s="34" t="inlineStr">
        <is>
          <t>SEBI Depositories Regs (MII status)</t>
        </is>
      </c>
      <c r="G5" s="32" t="inlineStr">
        <is>
          <t>SEBI RTA Regulations (Cat-I)</t>
        </is>
      </c>
      <c r="H5" s="34" t="inlineStr">
        <is>
          <t>SEBI RTA Regulations (Cat-I)</t>
        </is>
      </c>
    </row>
    <row r="6">
      <c r="A6" s="29" t="n">
        <v>3</v>
      </c>
      <c r="B6" s="30" t="inlineStr">
        <is>
          <t>Category 1: Industry &amp; Regulatory</t>
        </is>
      </c>
      <c r="C6" s="31" t="inlineStr">
        <is>
          <t>Market Structure Archetype</t>
        </is>
      </c>
      <c r="D6" s="30" t="inlineStr">
        <is>
          <t>Industry Data (NSE/BSE/AMFI)</t>
        </is>
      </c>
      <c r="E6" s="30" t="inlineStr">
        <is>
          <t>Asymmetric Duopoly (with NSE)</t>
        </is>
      </c>
      <c r="F6" s="30" t="inlineStr">
        <is>
          <t>Duopoly (with NSDL)</t>
        </is>
      </c>
      <c r="G6" s="32" t="inlineStr">
        <is>
          <t>Duopoly (~68% AAUM share)</t>
        </is>
      </c>
      <c r="H6" s="30" t="inlineStr">
        <is>
          <t>Duopoly (~32% AAUM share)</t>
        </is>
      </c>
    </row>
    <row r="7">
      <c r="A7" s="33" t="n">
        <v>4</v>
      </c>
      <c r="B7" s="34" t="inlineStr">
        <is>
          <t>Category 1: Industry &amp; Regulatory</t>
        </is>
      </c>
      <c r="C7" s="35" t="inlineStr">
        <is>
          <t>Core Market Share Metric</t>
        </is>
      </c>
      <c r="D7" s="34" t="inlineStr">
        <is>
          <t>Exchange / NSDL-CDSL / AMFI</t>
        </is>
      </c>
      <c r="E7" s="34" t="inlineStr">
        <is>
          <t>~26% Index Options Premium ADTO</t>
        </is>
      </c>
      <c r="F7" s="34" t="inlineStr">
        <is>
          <t>~79% Total Demat Accounts</t>
        </is>
      </c>
      <c r="G7" s="32" t="inlineStr">
        <is>
          <t>~68% Domestic MF AAUM</t>
        </is>
      </c>
      <c r="H7" s="34" t="inlineStr">
        <is>
          <t>~32% Domestic MF AAUM; ~48% Issuer Folio Share</t>
        </is>
      </c>
    </row>
    <row r="8">
      <c r="A8" s="29" t="n">
        <v>5</v>
      </c>
      <c r="B8" s="30" t="inlineStr">
        <is>
          <t>Category 1: Industry &amp; Regulatory</t>
        </is>
      </c>
      <c r="C8" s="31" t="inlineStr">
        <is>
          <t>Incremental Market Share Trend</t>
        </is>
      </c>
      <c r="D8" s="30" t="inlineStr">
        <is>
          <t>Industry Data (12M trend)</t>
        </is>
      </c>
      <c r="E8" s="30" t="inlineStr">
        <is>
          <t>Stabilising post weekly-expiry rule</t>
        </is>
      </c>
      <c r="F8" s="30" t="inlineStr">
        <is>
          <t>~88-90% of incremental demat accounts</t>
        </is>
      </c>
      <c r="G8" s="32" t="inlineStr">
        <is>
          <t>Stable; winning 60%+ new AMC launches</t>
        </is>
      </c>
      <c r="H8" s="30" t="inlineStr">
        <is>
          <t>Gaining share in Alternates &amp; SE Asia</t>
        </is>
      </c>
    </row>
    <row r="9">
      <c r="A9" s="33" t="n">
        <v>6</v>
      </c>
      <c r="B9" s="34" t="inlineStr">
        <is>
          <t>Category 1: Industry &amp; Regulatory</t>
        </is>
      </c>
      <c r="C9" s="35" t="inlineStr">
        <is>
          <t>Switching Cost Intensity</t>
        </is>
      </c>
      <c r="D9" s="34" t="inlineStr">
        <is>
          <t>Company Disclosures / Filings</t>
        </is>
      </c>
      <c r="E9" s="34" t="inlineStr">
        <is>
          <t>Low-Moderate (brokers route via SOR)</t>
        </is>
      </c>
      <c r="F9" s="34" t="inlineStr">
        <is>
          <t>High for B2B issuers; Low for retail multi-demat</t>
        </is>
      </c>
      <c r="G9" s="32" t="inlineStr">
        <is>
          <t>Extremely High (multi-year IT/workflow integration)</t>
        </is>
      </c>
      <c r="H9" s="34" t="inlineStr">
        <is>
          <t>Extremely High (deep core-system integration)</t>
        </is>
      </c>
    </row>
    <row r="10">
      <c r="A10" s="29" t="n">
        <v>7</v>
      </c>
      <c r="B10" s="30" t="inlineStr">
        <is>
          <t>Category 1: Industry &amp; Regulatory</t>
        </is>
      </c>
      <c r="C10" s="31" t="inlineStr">
        <is>
          <t>Network Effect Mechanism</t>
        </is>
      </c>
      <c r="D10" s="30" t="inlineStr">
        <is>
          <t>Industry Analysis</t>
        </is>
      </c>
      <c r="E10" s="30" t="inlineStr">
        <is>
          <t>Two-sided liquidity pool (buyers/sellers)</t>
        </is>
      </c>
      <c r="F10" s="30" t="inlineStr">
        <is>
          <t>DP &amp; Issuer network connectivity</t>
        </is>
      </c>
      <c r="G10" s="32" t="inlineStr">
        <is>
          <t>AMC-Distributor-Investor ecosystem (MFCentral)</t>
        </is>
      </c>
      <c r="H10" s="30" t="inlineStr">
        <is>
          <t>AMC-Corporates-Global asset managers</t>
        </is>
      </c>
    </row>
    <row r="11">
      <c r="A11" s="33" t="n">
        <v>8</v>
      </c>
      <c r="B11" s="34" t="inlineStr">
        <is>
          <t>Category 1: Industry &amp; Regulatory</t>
        </is>
      </c>
      <c r="C11" s="35" t="inlineStr">
        <is>
          <t>Pricing Power vs. Regulatory Cap</t>
        </is>
      </c>
      <c r="D11" s="34" t="inlineStr">
        <is>
          <t>SEBI Circulars / Filings</t>
        </is>
      </c>
      <c r="E11" s="34" t="inlineStr">
        <is>
          <t>Capped by SEBI true-to-label flat-fee rules</t>
        </is>
      </c>
      <c r="F11" s="34" t="inlineStr">
        <is>
          <t>Regulated annual issuer &amp; transaction tariffs</t>
        </is>
      </c>
      <c r="G11" s="32" t="inlineStr">
        <is>
          <t>Negotiated B2B tiered/telescopic slabs</t>
        </is>
      </c>
      <c r="H11" s="34" t="inlineStr">
        <is>
          <t>Negotiated B2B slabs + value-added SaaS fees</t>
        </is>
      </c>
    </row>
    <row r="12">
      <c r="A12" s="29" t="n">
        <v>9</v>
      </c>
      <c r="B12" s="30" t="inlineStr">
        <is>
          <t>Category 1: Industry &amp; Regulatory</t>
        </is>
      </c>
      <c r="C12" s="31" t="inlineStr">
        <is>
          <t>Yield / Realisation Trajectory</t>
        </is>
      </c>
      <c r="D12" s="30" t="inlineStr">
        <is>
          <t>Earnings Transcripts</t>
        </is>
      </c>
      <c r="E12" s="30" t="inlineStr">
        <is>
          <t>Flat post-Oct 2024 tariff reset</t>
        </is>
      </c>
      <c r="F12" s="30" t="inlineStr">
        <is>
          <t>Structural fee reduction on demat txns</t>
        </is>
      </c>
      <c r="G12" s="32" t="inlineStr">
        <is>
          <t>-2.5 to -3.5 bps/yr telescopic compression</t>
        </is>
      </c>
      <c r="H12" s="30" t="inlineStr">
        <is>
          <t>-2.0 to -3.0 bps/yr in MF; flat in Global/Issuer</t>
        </is>
      </c>
    </row>
    <row r="13">
      <c r="A13" s="33" t="n">
        <v>10</v>
      </c>
      <c r="B13" s="34" t="inlineStr">
        <is>
          <t>Category 1: Industry &amp; Regulatory</t>
        </is>
      </c>
      <c r="C13" s="35" t="inlineStr">
        <is>
          <t>Direct Impact: SEBI F&amp;O Curbs (6 Measures)</t>
        </is>
      </c>
      <c r="D13" s="34" t="inlineStr">
        <is>
          <t>SEBI Circulars (Weekly expiry, lot size)</t>
        </is>
      </c>
      <c r="E13" s="34" t="inlineStr">
        <is>
          <t>High Direct: Loss of Bankex weekly; higher lot sizes</t>
        </is>
      </c>
      <c r="F13" s="34" t="inlineStr">
        <is>
          <t>Low Direct: F&amp;O doesn't trigger demat delivery</t>
        </is>
      </c>
      <c r="G13" s="32" t="inlineStr">
        <is>
          <t>Zero Direct: No derivatives exposure</t>
        </is>
      </c>
      <c r="H13" s="34" t="inlineStr">
        <is>
          <t>Zero Direct: No derivatives exposure</t>
        </is>
      </c>
    </row>
    <row r="14">
      <c r="A14" s="29" t="n">
        <v>11</v>
      </c>
      <c r="B14" s="30" t="inlineStr">
        <is>
          <t>Category 1: Industry &amp; Regulatory</t>
        </is>
      </c>
      <c r="C14" s="31" t="inlineStr">
        <is>
          <t>Direct Impact: SEBI True-to-Label Fee Circular</t>
        </is>
      </c>
      <c r="D14" s="30" t="inlineStr">
        <is>
          <t>SEBI MII Circulars</t>
        </is>
      </c>
      <c r="E14" s="30" t="inlineStr">
        <is>
          <t>Replaced slab discounts with uniform flat charge/Cr</t>
        </is>
      </c>
      <c r="F14" s="30" t="inlineStr">
        <is>
          <t>Flat tariff revision on pledge/debit transactions</t>
        </is>
      </c>
      <c r="G14" s="32" t="inlineStr">
        <is>
          <t>Not applicable (RTA outside MII circular)</t>
        </is>
      </c>
      <c r="H14" s="30" t="inlineStr">
        <is>
          <t>Not applicable (RTA outside MII circular)</t>
        </is>
      </c>
    </row>
    <row r="15">
      <c r="A15" s="33" t="n">
        <v>12</v>
      </c>
      <c r="B15" s="34" t="inlineStr">
        <is>
          <t>Category 1: Industry &amp; Regulatory</t>
        </is>
      </c>
      <c r="C15" s="35" t="inlineStr">
        <is>
          <t>Second-Order Impact of F&amp;O Curbs</t>
        </is>
      </c>
      <c r="D15" s="34" t="inlineStr">
        <is>
          <t>Industry Analysis</t>
        </is>
      </c>
      <c r="E15" s="34" t="inlineStr">
        <is>
          <t>Higher clearing &amp; regulatory fee pass-through risk</t>
        </is>
      </c>
      <c r="F15" s="34" t="inlineStr">
        <is>
          <t>Retail speculators trade less in cash delivery</t>
        </is>
      </c>
      <c r="G15" s="32" t="inlineStr">
        <is>
          <t>Positive: Retail liquidity redirects into MF SIPs</t>
        </is>
      </c>
      <c r="H15" s="34" t="inlineStr">
        <is>
          <t>Positive: Retail capital shifts toward MF SIPs</t>
        </is>
      </c>
    </row>
    <row r="16">
      <c r="A16" s="29" t="n">
        <v>13</v>
      </c>
      <c r="B16" s="30" t="inlineStr">
        <is>
          <t>Category 1: Industry &amp; Regulatory</t>
        </is>
      </c>
      <c r="C16" s="31" t="inlineStr">
        <is>
          <t>Second-Order Impact: TER Cut Risk on AMCs</t>
        </is>
      </c>
      <c r="D16" s="30" t="inlineStr">
        <is>
          <t>AMFI / SEBI Consultation Papers</t>
        </is>
      </c>
      <c r="E16" s="30" t="inlineStr">
        <is>
          <t>Negligible</t>
        </is>
      </c>
      <c r="F16" s="30" t="inlineStr">
        <is>
          <t>Negligible</t>
        </is>
      </c>
      <c r="G16" s="32" t="inlineStr">
        <is>
          <t>Moderate (AMCs renegotiate RTA yields by 1-2 bps)</t>
        </is>
      </c>
      <c r="H16" s="30" t="inlineStr">
        <is>
          <t>Moderate (partially offset by non-MF lines)</t>
        </is>
      </c>
    </row>
    <row r="17">
      <c r="A17" s="33" t="n">
        <v>14</v>
      </c>
      <c r="B17" s="34" t="inlineStr">
        <is>
          <t>Category 1: Industry &amp; Regulatory</t>
        </is>
      </c>
      <c r="C17" s="35" t="inlineStr">
        <is>
          <t>Structural vs. Cyclical Revenue Split</t>
        </is>
      </c>
      <c r="D17" s="34" t="inlineStr">
        <is>
          <t>Company Disclosures</t>
        </is>
      </c>
      <c r="E17" s="34" t="inlineStr">
        <is>
          <t>30% Structural (Listing/Book) / 70% Cyclical (Txn)</t>
        </is>
      </c>
      <c r="F17" s="34" t="inlineStr">
        <is>
          <t>42% Structural (Issuer/AMC) / 58% Cyclical (Txn/IPO)</t>
        </is>
      </c>
      <c r="G17" s="32" t="inlineStr">
        <is>
          <t>82% Structural (AAUM-linked) / 18% Txn-linked</t>
        </is>
      </c>
      <c r="H17" s="34" t="inlineStr">
        <is>
          <t>76% Structural (AAUM + Folio) / 24% Event/Txn</t>
        </is>
      </c>
    </row>
    <row r="18">
      <c r="A18" s="29" t="n">
        <v>15</v>
      </c>
      <c r="B18" s="30" t="inlineStr">
        <is>
          <t>Category 1: Industry &amp; Regulatory</t>
        </is>
      </c>
      <c r="C18" s="31" t="inlineStr">
        <is>
          <t>SIP / Retail Financialisation Linkage</t>
        </is>
      </c>
      <c r="D18" s="30" t="inlineStr">
        <is>
          <t>AMFI Monthly Bulletins</t>
        </is>
      </c>
      <c r="E18" s="30" t="inlineStr">
        <is>
          <t>Indirect (ETF/cash market liquidity)</t>
        </is>
      </c>
      <c r="F18" s="30" t="inlineStr">
        <is>
          <t>High (demat account openings)</t>
        </is>
      </c>
      <c r="G18" s="32" t="inlineStr">
        <is>
          <t>Direct (Rs 25,000+ Cr/month SIP book compounding)</t>
        </is>
      </c>
      <c r="H18" s="30" t="inlineStr">
        <is>
          <t>Direct (Monthly SIP inflows + folio additions)</t>
        </is>
      </c>
    </row>
    <row r="19">
      <c r="A19" s="33" t="n">
        <v>16</v>
      </c>
      <c r="B19" s="34" t="inlineStr">
        <is>
          <t>Category 1: Industry &amp; Regulatory</t>
        </is>
      </c>
      <c r="C19" s="35" t="inlineStr">
        <is>
          <t>Equity vs. Non-Equity Revenue Sensitivity</t>
        </is>
      </c>
      <c r="D19" s="34" t="inlineStr">
        <is>
          <t>Investor Presentations</t>
        </is>
      </c>
      <c r="E19" s="34" t="inlineStr">
        <is>
          <t>High sensitivity to Index Options ADTO</t>
        </is>
      </c>
      <c r="F19" s="34" t="inlineStr">
        <is>
          <t>High sensitivity to Cash Delivery &amp; IPO velocity</t>
        </is>
      </c>
      <c r="G19" s="32" t="inlineStr">
        <is>
          <t>High sensitivity to Equity MF AAUM (~54% of AAUM)</t>
        </is>
      </c>
      <c r="H19" s="34" t="inlineStr">
        <is>
          <t>Moderate-High (Equity MF + Corporate Folios)</t>
        </is>
      </c>
    </row>
    <row r="20">
      <c r="A20" s="29" t="n">
        <v>17</v>
      </c>
      <c r="B20" s="30" t="inlineStr">
        <is>
          <t>Category 1: Industry &amp; Regulatory</t>
        </is>
      </c>
      <c r="C20" s="31" t="inlineStr">
        <is>
          <t>Competitive Threat / New Entrant Risk</t>
        </is>
      </c>
      <c r="D20" s="30" t="inlineStr">
        <is>
          <t>Industry Filings</t>
        </is>
      </c>
      <c r="E20" s="30" t="inlineStr">
        <is>
          <t>NSE dominant (~74% F&amp;O share); MSEI revival</t>
        </is>
      </c>
      <c r="F20" s="30" t="inlineStr">
        <is>
          <t>NSDL IPO &amp; aggressive fintech DP pricing</t>
        </is>
      </c>
      <c r="G20" s="32" t="inlineStr">
        <is>
          <t>KFin Tech in new AMC mandates</t>
        </is>
      </c>
      <c r="H20" s="30" t="inlineStr">
        <is>
          <t>CAMS in domestic MF; global admins abroad</t>
        </is>
      </c>
    </row>
    <row r="21">
      <c r="A21" s="33" t="n">
        <v>18</v>
      </c>
      <c r="B21" s="34" t="inlineStr">
        <is>
          <t>Category 1: Industry &amp; Regulatory</t>
        </is>
      </c>
      <c r="C21" s="35" t="inlineStr">
        <is>
          <t>Technology Infrastructure Ownership</t>
        </is>
      </c>
      <c r="D21" s="34" t="inlineStr">
        <is>
          <t>Annual Reports</t>
        </is>
      </c>
      <c r="E21" s="34" t="inlineStr">
        <is>
          <t>Proprietary trading engine + CMC</t>
        </is>
      </c>
      <c r="F21" s="34" t="inlineStr">
        <is>
          <t>Core depository ledger + CVL KYC</t>
        </is>
      </c>
      <c r="G21" s="32" t="inlineStr">
        <is>
          <t>CAMServ, MFCentral, Account Aggregator</t>
        </is>
      </c>
      <c r="H21" s="34" t="inlineStr">
        <is>
          <t>XAlt, mPower, Guardian compliance tools</t>
        </is>
      </c>
    </row>
    <row r="22">
      <c r="A22" s="29" t="n">
        <v>19</v>
      </c>
      <c r="B22" s="30" t="inlineStr">
        <is>
          <t>Category 1: Industry &amp; Regulatory</t>
        </is>
      </c>
      <c r="C22" s="31" t="inlineStr">
        <is>
          <t>Non-Core Growth Optionality</t>
        </is>
      </c>
      <c r="D22" s="30" t="inlineStr">
        <is>
          <t>Investor Presentations</t>
        </is>
      </c>
      <c r="E22" s="30" t="inlineStr">
        <is>
          <t>Colocation racks, Power Exchange, India INX</t>
        </is>
      </c>
      <c r="F22" s="30" t="inlineStr">
        <is>
          <t>Account Aggregator, Insurance Repository, e-Voting</t>
        </is>
      </c>
      <c r="G22" s="32" t="inlineStr">
        <is>
          <t>Account Aggregator, NPS CRA, CAMSPay, AIF</t>
        </is>
      </c>
      <c r="H22" s="30" t="inlineStr">
        <is>
          <t>Global Fund Admin (ASEAN/GIFT), AIF/PMS, Wealth SaaS</t>
        </is>
      </c>
    </row>
    <row r="23">
      <c r="A23" s="33" t="n">
        <v>20</v>
      </c>
      <c r="B23" s="34" t="inlineStr">
        <is>
          <t>Category 1: Industry &amp; Regulatory</t>
        </is>
      </c>
      <c r="C23" s="35" t="inlineStr">
        <is>
          <t>Regulatory Settlement / SGF Contribution</t>
        </is>
      </c>
      <c r="D23" s="34" t="inlineStr">
        <is>
          <t>SEBI / Exchange Filings</t>
        </is>
      </c>
      <c r="E23" s="34" t="inlineStr">
        <is>
          <t>Heavy Core SGF &amp; SEBI regulatory fee burden</t>
        </is>
      </c>
      <c r="F23" s="34" t="inlineStr">
        <is>
          <t>Moderate Investor Protection Fund (IPF) allocation</t>
        </is>
      </c>
      <c r="G23" s="32" t="inlineStr">
        <is>
          <t>Minimal statutory fund transfers</t>
        </is>
      </c>
      <c r="H23" s="34" t="inlineStr">
        <is>
          <t>Minimal statutory fund transfers</t>
        </is>
      </c>
    </row>
    <row r="24">
      <c r="A24" s="29" t="n">
        <v>21</v>
      </c>
      <c r="B24" s="30" t="inlineStr">
        <is>
          <t>Category 1: Industry &amp; Regulatory</t>
        </is>
      </c>
      <c r="C24" s="31" t="inlineStr">
        <is>
          <t>Operating Leverage Coefficient (DOL)</t>
        </is>
      </c>
      <c r="D24" s="30" t="inlineStr">
        <is>
          <t>Historical Financials</t>
        </is>
      </c>
      <c r="E24" s="30" t="inlineStr">
        <is>
          <t>Very High (~1.8x) - high fixed IT &amp; clearing costs</t>
        </is>
      </c>
      <c r="F24" s="30" t="inlineStr">
        <is>
          <t>High (~1.5x)</t>
        </is>
      </c>
      <c r="G24" s="32" t="inlineStr">
        <is>
          <t>Moderate-High (~1.35x) - employee &amp; tech scale</t>
        </is>
      </c>
      <c r="H24" s="30" t="inlineStr">
        <is>
          <t>Moderate-High (~1.30x)</t>
        </is>
      </c>
    </row>
    <row r="25">
      <c r="A25" s="33" t="n">
        <v>22</v>
      </c>
      <c r="B25" s="34" t="inlineStr">
        <is>
          <t>Category 1: Industry &amp; Regulatory</t>
        </is>
      </c>
      <c r="C25" s="35" t="inlineStr">
        <is>
          <t>Moat Durability Score (1-10 Rating)</t>
        </is>
      </c>
      <c r="D25" s="34" t="inlineStr">
        <is>
          <t>Cross-examination synthesis</t>
        </is>
      </c>
      <c r="E25" s="34" t="inlineStr">
        <is>
          <t>6.5/10 (Regulatory &amp; NSE concentration risk)</t>
        </is>
      </c>
      <c r="F25" s="34" t="inlineStr">
        <is>
          <t>8.0/10 (Regulated MII duopoly, cyclicality drag)</t>
        </is>
      </c>
      <c r="G25" s="32" t="inlineStr">
        <is>
          <t>9.2/10 (Embedded workflow, zero F&amp;O risk, 68% share)</t>
        </is>
      </c>
      <c r="H25" s="34" t="inlineStr">
        <is>
          <t>8.5/10 (Diversified RTA moat, multi-geography)</t>
        </is>
      </c>
    </row>
    <row r="26">
      <c r="A26" s="29" t="n">
        <v>23</v>
      </c>
      <c r="B26" s="30" t="inlineStr">
        <is>
          <t>Category 2: Valuation &amp; DCF</t>
        </is>
      </c>
      <c r="C26" s="31" t="inlineStr">
        <is>
          <t>Current Market Price (CMP) - Oct 23, 2026</t>
        </is>
      </c>
      <c r="D26" s="30" t="inlineStr">
        <is>
          <t>NSE/BSE Market Data</t>
        </is>
      </c>
      <c r="E26" s="30" t="inlineStr">
        <is>
          <t>Rs 4,650</t>
        </is>
      </c>
      <c r="F26" s="30" t="inlineStr">
        <is>
          <t>Rs 1,580</t>
        </is>
      </c>
      <c r="G26" s="32" t="inlineStr">
        <is>
          <t>Rs 4,420</t>
        </is>
      </c>
      <c r="H26" s="30" t="inlineStr">
        <is>
          <t>Rs 1,140</t>
        </is>
      </c>
    </row>
    <row r="27">
      <c r="A27" s="33" t="n">
        <v>24</v>
      </c>
      <c r="B27" s="34" t="inlineStr">
        <is>
          <t>Category 2: Valuation &amp; DCF</t>
        </is>
      </c>
      <c r="C27" s="35" t="inlineStr">
        <is>
          <t>Diluted Shares Outstanding (Cr)</t>
        </is>
      </c>
      <c r="D27" s="34" t="inlineStr">
        <is>
          <t>Exchange Shareholding Filings</t>
        </is>
      </c>
      <c r="E27" s="34" t="inlineStr">
        <is>
          <t>13.54 Cr</t>
        </is>
      </c>
      <c r="F27" s="34" t="inlineStr">
        <is>
          <t>20.90 Cr</t>
        </is>
      </c>
      <c r="G27" s="32" t="inlineStr">
        <is>
          <t>4.94 Cr</t>
        </is>
      </c>
      <c r="H27" s="34" t="inlineStr">
        <is>
          <t>17.25 Cr</t>
        </is>
      </c>
    </row>
    <row r="28">
      <c r="A28" s="29" t="n">
        <v>25</v>
      </c>
      <c r="B28" s="30" t="inlineStr">
        <is>
          <t>Category 2: Valuation &amp; DCF</t>
        </is>
      </c>
      <c r="C28" s="31" t="inlineStr">
        <is>
          <t>Market Capitalisation (Rs Cr)</t>
        </is>
      </c>
      <c r="D28" s="30" t="inlineStr">
        <is>
          <t>Calculated (#23 * #24)</t>
        </is>
      </c>
      <c r="E28" s="30" t="inlineStr">
        <is>
          <t>Rs 62,961 Cr</t>
        </is>
      </c>
      <c r="F28" s="30" t="inlineStr">
        <is>
          <t>Rs 33,022 Cr</t>
        </is>
      </c>
      <c r="G28" s="32" t="inlineStr">
        <is>
          <t>Rs 21,835 Cr</t>
        </is>
      </c>
      <c r="H28" s="30" t="inlineStr">
        <is>
          <t>Rs 19,665 Cr</t>
        </is>
      </c>
    </row>
    <row r="29">
      <c r="A29" s="33" t="n">
        <v>26</v>
      </c>
      <c r="B29" s="34" t="inlineStr">
        <is>
          <t>Category 2: Valuation &amp; DCF</t>
        </is>
      </c>
      <c r="C29" s="35" t="inlineStr">
        <is>
          <t>Total Debt &amp; Lease Liabilities (Rs Cr)</t>
        </is>
      </c>
      <c r="D29" s="34" t="inlineStr">
        <is>
          <t>Balance Sheet Disclosures</t>
        </is>
      </c>
      <c r="E29" s="34" t="inlineStr">
        <is>
          <t>Rs 0 Cr (Debt-free)</t>
        </is>
      </c>
      <c r="F29" s="34" t="inlineStr">
        <is>
          <t>Rs 4 Cr (Lease)</t>
        </is>
      </c>
      <c r="G29" s="32" t="inlineStr">
        <is>
          <t>Rs 82 Cr (Lease liabilities only)</t>
        </is>
      </c>
      <c r="H29" s="34" t="inlineStr">
        <is>
          <t>Rs 58 Cr (Lease liabilities)</t>
        </is>
      </c>
    </row>
    <row r="30">
      <c r="A30" s="29" t="n">
        <v>27</v>
      </c>
      <c r="B30" s="30" t="inlineStr">
        <is>
          <t>Category 2: Valuation &amp; DCF</t>
        </is>
      </c>
      <c r="C30" s="31" t="inlineStr">
        <is>
          <t>Unencumbered Cash &amp; Liquid Investments (Rs Cr)</t>
        </is>
      </c>
      <c r="D30" s="30" t="inlineStr">
        <is>
          <t>Balance Sheet (Excl. client/SGF cash)</t>
        </is>
      </c>
      <c r="E30" s="30" t="inlineStr">
        <is>
          <t>Rs 3,150 Cr</t>
        </is>
      </c>
      <c r="F30" s="30" t="inlineStr">
        <is>
          <t>Rs 1,420 Cr</t>
        </is>
      </c>
      <c r="G30" s="32" t="inlineStr">
        <is>
          <t>Rs 742 Cr</t>
        </is>
      </c>
      <c r="H30" s="30" t="inlineStr">
        <is>
          <t>Rs 518 Cr</t>
        </is>
      </c>
    </row>
    <row r="31">
      <c r="A31" s="33" t="n">
        <v>28</v>
      </c>
      <c r="B31" s="34" t="inlineStr">
        <is>
          <t>Category 2: Valuation &amp; DCF</t>
        </is>
      </c>
      <c r="C31" s="35" t="inlineStr">
        <is>
          <t>Net Cash / (Debt) Position (Rs Cr)</t>
        </is>
      </c>
      <c r="D31" s="34" t="inlineStr">
        <is>
          <t>Calculated (#27 - #26)</t>
        </is>
      </c>
      <c r="E31" s="34" t="inlineStr">
        <is>
          <t>+Rs 3,150 Cr</t>
        </is>
      </c>
      <c r="F31" s="34" t="inlineStr">
        <is>
          <t>+Rs 1,416 Cr</t>
        </is>
      </c>
      <c r="G31" s="32" t="inlineStr">
        <is>
          <t>+Rs 660 Cr</t>
        </is>
      </c>
      <c r="H31" s="34" t="inlineStr">
        <is>
          <t>+Rs 460 Cr</t>
        </is>
      </c>
    </row>
    <row r="32">
      <c r="A32" s="29" t="n">
        <v>29</v>
      </c>
      <c r="B32" s="30" t="inlineStr">
        <is>
          <t>Category 2: Valuation &amp; DCF</t>
        </is>
      </c>
      <c r="C32" s="31" t="inlineStr">
        <is>
          <t>Enterprise Value (EV) (Rs Cr)</t>
        </is>
      </c>
      <c r="D32" s="30" t="inlineStr">
        <is>
          <t>Calculated (#25 - #28)</t>
        </is>
      </c>
      <c r="E32" s="30" t="inlineStr">
        <is>
          <t>Rs 59,811 Cr</t>
        </is>
      </c>
      <c r="F32" s="30" t="inlineStr">
        <is>
          <t>Rs 31,606 Cr</t>
        </is>
      </c>
      <c r="G32" s="32" t="inlineStr">
        <is>
          <t>Rs 21,175 Cr</t>
        </is>
      </c>
      <c r="H32" s="30" t="inlineStr">
        <is>
          <t>Rs 19,205 Cr</t>
        </is>
      </c>
    </row>
    <row r="33">
      <c r="A33" s="33" t="n">
        <v>30</v>
      </c>
      <c r="B33" s="34" t="inlineStr">
        <is>
          <t>Category 2: Valuation &amp; DCF</t>
        </is>
      </c>
      <c r="C33" s="35" t="inlineStr">
        <is>
          <t>Base Year Operating Revenue (FY26A, Rs Cr)</t>
        </is>
      </c>
      <c r="D33" s="34" t="inlineStr">
        <is>
          <t>Annual Reports / Filings</t>
        </is>
      </c>
      <c r="E33" s="34" t="inlineStr">
        <is>
          <t>Rs 2,840 Cr</t>
        </is>
      </c>
      <c r="F33" s="34" t="inlineStr">
        <is>
          <t>Rs 1,290 Cr</t>
        </is>
      </c>
      <c r="G33" s="32" t="inlineStr">
        <is>
          <t>Rs 1,480 Cr</t>
        </is>
      </c>
      <c r="H33" s="34" t="inlineStr">
        <is>
          <t>Rs 1,160 Cr</t>
        </is>
      </c>
    </row>
    <row r="34">
      <c r="A34" s="29" t="n">
        <v>31</v>
      </c>
      <c r="B34" s="30" t="inlineStr">
        <is>
          <t>Category 2: Valuation &amp; DCF</t>
        </is>
      </c>
      <c r="C34" s="31" t="inlineStr">
        <is>
          <t>3-Year Forecast Revenue CAGR (FY26-FY29E)</t>
        </is>
      </c>
      <c r="D34" s="30" t="inlineStr">
        <is>
          <t>Model Output</t>
        </is>
      </c>
      <c r="E34" s="30" t="inlineStr">
        <is>
          <t>15.2%</t>
        </is>
      </c>
      <c r="F34" s="30" t="inlineStr">
        <is>
          <t>17.5%</t>
        </is>
      </c>
      <c r="G34" s="32" t="inlineStr">
        <is>
          <t>18.8%</t>
        </is>
      </c>
      <c r="H34" s="30" t="inlineStr">
        <is>
          <t>19.4%</t>
        </is>
      </c>
    </row>
    <row r="35">
      <c r="A35" s="33" t="n">
        <v>32</v>
      </c>
      <c r="B35" s="34" t="inlineStr">
        <is>
          <t>Category 2: Valuation &amp; DCF</t>
        </is>
      </c>
      <c r="C35" s="35" t="inlineStr">
        <is>
          <t>Primary Volume Driver Assumption (Base Case)</t>
        </is>
      </c>
      <c r="D35" s="34" t="inlineStr">
        <is>
          <t>AMFI / Exchange Forecasts</t>
        </is>
      </c>
      <c r="E35" s="34" t="inlineStr">
        <is>
          <t>Options Premium ADTO +14% CAGR</t>
        </is>
      </c>
      <c r="F35" s="34" t="inlineStr">
        <is>
          <t>Demat A/c +16% CAGR; Txn vol +12%</t>
        </is>
      </c>
      <c r="G35" s="32" t="inlineStr">
        <is>
          <t>Overall AAUM +20.5% CAGR; Equity AAUM +23%</t>
        </is>
      </c>
      <c r="H35" s="34" t="inlineStr">
        <is>
          <t>Domestic AAUM +21% CAGR; Intl +28%</t>
        </is>
      </c>
    </row>
    <row r="36">
      <c r="A36" s="29" t="n">
        <v>33</v>
      </c>
      <c r="B36" s="30" t="inlineStr">
        <is>
          <t>Category 2: Valuation &amp; DCF</t>
        </is>
      </c>
      <c r="C36" s="31" t="inlineStr">
        <is>
          <t>Primary Pricing / Yield Assumption (Base Case)</t>
        </is>
      </c>
      <c r="D36" s="30" t="inlineStr">
        <is>
          <t>Earnings Call Guidance</t>
        </is>
      </c>
      <c r="E36" s="30" t="inlineStr">
        <is>
          <t>Flat Rs 3,250/Cr options premium</t>
        </is>
      </c>
      <c r="F36" s="30" t="inlineStr">
        <is>
          <t>-2% p.a. blended txn fee rationalisation</t>
        </is>
      </c>
      <c r="G36" s="32" t="inlineStr">
        <is>
          <t>-2.8% p.a. yield compression (2.42 to 2.22 bps)</t>
        </is>
      </c>
      <c r="H36" s="30" t="inlineStr">
        <is>
          <t>-2.5% p.a. domestic MF yield compression</t>
        </is>
      </c>
    </row>
    <row r="37">
      <c r="A37" s="33" t="n">
        <v>34</v>
      </c>
      <c r="B37" s="34" t="inlineStr">
        <is>
          <t>Category 2: Valuation &amp; DCF</t>
        </is>
      </c>
      <c r="C37" s="35" t="inlineStr">
        <is>
          <t>Base Year EBITDA (FY26A, Rs Cr) &amp; Margin (%)</t>
        </is>
      </c>
      <c r="D37" s="34" t="inlineStr">
        <is>
          <t>Company Filings</t>
        </is>
      </c>
      <c r="E37" s="34" t="inlineStr">
        <is>
          <t>Rs 1,490 Cr (52.5%)</t>
        </is>
      </c>
      <c r="F37" s="34" t="inlineStr">
        <is>
          <t>Rs 774 Cr (60.0%)</t>
        </is>
      </c>
      <c r="G37" s="32" t="inlineStr">
        <is>
          <t>Rs 688 Cr (46.5%)</t>
        </is>
      </c>
      <c r="H37" s="34" t="inlineStr">
        <is>
          <t>Rs 516 Cr (44.5%)</t>
        </is>
      </c>
    </row>
    <row r="38">
      <c r="A38" s="29" t="n">
        <v>35</v>
      </c>
      <c r="B38" s="30" t="inlineStr">
        <is>
          <t>Category 2: Valuation &amp; DCF</t>
        </is>
      </c>
      <c r="C38" s="31" t="inlineStr">
        <is>
          <t>Target FY28E EBITDA Margin (%)</t>
        </is>
      </c>
      <c r="D38" s="30" t="inlineStr">
        <is>
          <t>3-Statement Model Output</t>
        </is>
      </c>
      <c r="E38" s="30" t="inlineStr">
        <is>
          <t>54.0%</t>
        </is>
      </c>
      <c r="F38" s="30" t="inlineStr">
        <is>
          <t>61.2%</t>
        </is>
      </c>
      <c r="G38" s="32" t="inlineStr">
        <is>
          <t>48.2%</t>
        </is>
      </c>
      <c r="H38" s="30" t="inlineStr">
        <is>
          <t>45.8%</t>
        </is>
      </c>
    </row>
    <row r="39">
      <c r="A39" s="33" t="n">
        <v>36</v>
      </c>
      <c r="B39" s="34" t="inlineStr">
        <is>
          <t>Category 2: Valuation &amp; DCF</t>
        </is>
      </c>
      <c r="C39" s="35" t="inlineStr">
        <is>
          <t>Depreciation &amp; Amortisation (% of Revenue)</t>
        </is>
      </c>
      <c r="D39" s="34" t="inlineStr">
        <is>
          <t>Financial Statements</t>
        </is>
      </c>
      <c r="E39" s="34" t="inlineStr">
        <is>
          <t>3.8%</t>
        </is>
      </c>
      <c r="F39" s="34" t="inlineStr">
        <is>
          <t>3.2%</t>
        </is>
      </c>
      <c r="G39" s="32" t="inlineStr">
        <is>
          <t>5.2% (Rs 77 Cr in FY26A)</t>
        </is>
      </c>
      <c r="H39" s="34" t="inlineStr">
        <is>
          <t>6.1% (higher intangibles amortisation)</t>
        </is>
      </c>
    </row>
    <row r="40">
      <c r="A40" s="29" t="n">
        <v>37</v>
      </c>
      <c r="B40" s="30" t="inlineStr">
        <is>
          <t>Category 2: Valuation &amp; DCF</t>
        </is>
      </c>
      <c r="C40" s="31" t="inlineStr">
        <is>
          <t>Other / Treasury Income (FY26A, Rs Cr)</t>
        </is>
      </c>
      <c r="D40" s="30" t="inlineStr">
        <is>
          <t>P&amp;L Disclosures</t>
        </is>
      </c>
      <c r="E40" s="30" t="inlineStr">
        <is>
          <t>Rs 280 Cr</t>
        </is>
      </c>
      <c r="F40" s="30" t="inlineStr">
        <is>
          <t>Rs 115 Cr</t>
        </is>
      </c>
      <c r="G40" s="32" t="inlineStr">
        <is>
          <t>Rs 54 Cr</t>
        </is>
      </c>
      <c r="H40" s="30" t="inlineStr">
        <is>
          <t>Rs 38 Cr</t>
        </is>
      </c>
    </row>
    <row r="41">
      <c r="A41" s="33" t="n">
        <v>38</v>
      </c>
      <c r="B41" s="34" t="inlineStr">
        <is>
          <t>Category 2: Valuation &amp; DCF</t>
        </is>
      </c>
      <c r="C41" s="35" t="inlineStr">
        <is>
          <t>Effective Corporate Tax Rate (%)</t>
        </is>
      </c>
      <c r="D41" s="34" t="inlineStr">
        <is>
          <t>Tax Footnotes</t>
        </is>
      </c>
      <c r="E41" s="34" t="inlineStr">
        <is>
          <t>25.2%</t>
        </is>
      </c>
      <c r="F41" s="34" t="inlineStr">
        <is>
          <t>25.2%</t>
        </is>
      </c>
      <c r="G41" s="32" t="inlineStr">
        <is>
          <t>25.2%</t>
        </is>
      </c>
      <c r="H41" s="34" t="inlineStr">
        <is>
          <t>25.4%</t>
        </is>
      </c>
    </row>
    <row r="42">
      <c r="A42" s="29" t="n">
        <v>39</v>
      </c>
      <c r="B42" s="30" t="inlineStr">
        <is>
          <t>Category 2: Valuation &amp; DCF</t>
        </is>
      </c>
      <c r="C42" s="31" t="inlineStr">
        <is>
          <t>Base Year PAT (FY26A, Rs Cr) &amp; Margin (%)</t>
        </is>
      </c>
      <c r="D42" s="30" t="inlineStr">
        <is>
          <t>Company Filings</t>
        </is>
      </c>
      <c r="E42" s="30" t="inlineStr">
        <is>
          <t>Rs 1,240 Cr (43.7%)</t>
        </is>
      </c>
      <c r="F42" s="30" t="inlineStr">
        <is>
          <t>Rs 642 Cr (49.8%)</t>
        </is>
      </c>
      <c r="G42" s="32" t="inlineStr">
        <is>
          <t>Rs 498 Cr (33.6%)</t>
        </is>
      </c>
      <c r="H42" s="30" t="inlineStr">
        <is>
          <t>Rs 362 Cr (31.2%)</t>
        </is>
      </c>
    </row>
    <row r="43">
      <c r="A43" s="33" t="n">
        <v>40</v>
      </c>
      <c r="B43" s="34" t="inlineStr">
        <is>
          <t>Category 2: Valuation &amp; DCF</t>
        </is>
      </c>
      <c r="C43" s="35" t="inlineStr">
        <is>
          <t>3-Year EPS CAGR (FY26-FY29E)</t>
        </is>
      </c>
      <c r="D43" s="34" t="inlineStr">
        <is>
          <t>Model Output</t>
        </is>
      </c>
      <c r="E43" s="34" t="inlineStr">
        <is>
          <t>16.4%</t>
        </is>
      </c>
      <c r="F43" s="34" t="inlineStr">
        <is>
          <t>18.1%</t>
        </is>
      </c>
      <c r="G43" s="32" t="inlineStr">
        <is>
          <t>20.4%</t>
        </is>
      </c>
      <c r="H43" s="34" t="inlineStr">
        <is>
          <t>21.0%</t>
        </is>
      </c>
    </row>
    <row r="44">
      <c r="A44" s="29" t="n">
        <v>41</v>
      </c>
      <c r="B44" s="30" t="inlineStr">
        <is>
          <t>Category 2: Valuation &amp; DCF</t>
        </is>
      </c>
      <c r="C44" s="31" t="inlineStr">
        <is>
          <t>Net Working Capital (NWC) Days (Ex-Cash)</t>
        </is>
      </c>
      <c r="D44" s="30" t="inlineStr">
        <is>
          <t>Balance Sheet Analysis</t>
        </is>
      </c>
      <c r="E44" s="30" t="inlineStr">
        <is>
          <t>-15 days</t>
        </is>
      </c>
      <c r="F44" s="30" t="inlineStr">
        <is>
          <t>18 days</t>
        </is>
      </c>
      <c r="G44" s="32" t="inlineStr">
        <is>
          <t>12 days (~3.3% of incremental revenue)</t>
        </is>
      </c>
      <c r="H44" s="30" t="inlineStr">
        <is>
          <t>44 days (higher trade receivables in Issuer/Global)</t>
        </is>
      </c>
    </row>
    <row r="45">
      <c r="A45" s="33" t="n">
        <v>42</v>
      </c>
      <c r="B45" s="34" t="inlineStr">
        <is>
          <t>Category 2: Valuation &amp; DCF</t>
        </is>
      </c>
      <c r="C45" s="35" t="inlineStr">
        <is>
          <t>Capex Intensity (% of Revenue)</t>
        </is>
      </c>
      <c r="D45" s="34" t="inlineStr">
        <is>
          <t>Cash Flow Statement</t>
        </is>
      </c>
      <c r="E45" s="34" t="inlineStr">
        <is>
          <t>4.5% (Server/Colocation)</t>
        </is>
      </c>
      <c r="F45" s="34" t="inlineStr">
        <is>
          <t>4.0% (IT security/ledger)</t>
        </is>
      </c>
      <c r="G45" s="32" t="inlineStr">
        <is>
          <t>4.8% (IT hardware + platform upgrade)</t>
        </is>
      </c>
      <c r="H45" s="34" t="inlineStr">
        <is>
          <t>6.8% (Capex + software capitalisation)</t>
        </is>
      </c>
    </row>
    <row r="46">
      <c r="A46" s="29" t="n">
        <v>43</v>
      </c>
      <c r="B46" s="30" t="inlineStr">
        <is>
          <t>Category 2: Valuation &amp; DCF</t>
        </is>
      </c>
      <c r="C46" s="31" t="inlineStr">
        <is>
          <t>Free Cash Flow to Firm (FCFF, FY26A, Rs Cr)</t>
        </is>
      </c>
      <c r="D46" s="30" t="inlineStr">
        <is>
          <t>Reconciled Cash Flow</t>
        </is>
      </c>
      <c r="E46" s="30" t="inlineStr">
        <is>
          <t>Rs 1,085 Cr</t>
        </is>
      </c>
      <c r="F46" s="30" t="inlineStr">
        <is>
          <t>Rs 560 Cr</t>
        </is>
      </c>
      <c r="G46" s="32" t="inlineStr">
        <is>
          <t>Rs 468 Cr</t>
        </is>
      </c>
      <c r="H46" s="30" t="inlineStr">
        <is>
          <t>Rs 295 Cr</t>
        </is>
      </c>
    </row>
    <row r="47">
      <c r="A47" s="33" t="n">
        <v>44</v>
      </c>
      <c r="B47" s="34" t="inlineStr">
        <is>
          <t>Category 2: Valuation &amp; DCF</t>
        </is>
      </c>
      <c r="C47" s="35" t="inlineStr">
        <is>
          <t>Return on Invested Capital (RoIC, Ex-Cash %)</t>
        </is>
      </c>
      <c r="D47" s="34" t="inlineStr">
        <is>
          <t>Calculated (NOPAT / Invested Cap)</t>
        </is>
      </c>
      <c r="E47" s="34" t="inlineStr">
        <is>
          <t>48.5%</t>
        </is>
      </c>
      <c r="F47" s="34" t="inlineStr">
        <is>
          <t>62.0%</t>
        </is>
      </c>
      <c r="G47" s="32" t="inlineStr">
        <is>
          <t>78.4%</t>
        </is>
      </c>
      <c r="H47" s="34" t="inlineStr">
        <is>
          <t>34.2% (diluted by goodwill/intangibles)</t>
        </is>
      </c>
    </row>
    <row r="48">
      <c r="A48" s="29" t="n">
        <v>45</v>
      </c>
      <c r="B48" s="30" t="inlineStr">
        <is>
          <t>Category 2: Valuation &amp; DCF</t>
        </is>
      </c>
      <c r="C48" s="31" t="inlineStr">
        <is>
          <t>Return on Equity (RoE, FY26A %)</t>
        </is>
      </c>
      <c r="D48" s="30" t="inlineStr">
        <is>
          <t>Company Disclosures</t>
        </is>
      </c>
      <c r="E48" s="30" t="inlineStr">
        <is>
          <t>28.5%</t>
        </is>
      </c>
      <c r="F48" s="30" t="inlineStr">
        <is>
          <t>36.8%</t>
        </is>
      </c>
      <c r="G48" s="32" t="inlineStr">
        <is>
          <t>44.6%</t>
        </is>
      </c>
      <c r="H48" s="30" t="inlineStr">
        <is>
          <t>26.8%</t>
        </is>
      </c>
    </row>
    <row r="49">
      <c r="A49" s="33" t="n">
        <v>46</v>
      </c>
      <c r="B49" s="34" t="inlineStr">
        <is>
          <t>Category 2: Valuation &amp; DCF</t>
        </is>
      </c>
      <c r="C49" s="35" t="inlineStr">
        <is>
          <t>Risk-Free Rate (Rf), Beta (B), ERP</t>
        </is>
      </c>
      <c r="D49" s="34" t="inlineStr">
        <is>
          <t>RBI 10Y G-Sec / NSE Beta</t>
        </is>
      </c>
      <c r="E49" s="34" t="inlineStr">
        <is>
          <t>Rf: 6.8%, B: 1.25, ERP: 6.0%</t>
        </is>
      </c>
      <c r="F49" s="34" t="inlineStr">
        <is>
          <t>Rf: 6.8%, B: 1.15, ERP: 6.0%</t>
        </is>
      </c>
      <c r="G49" s="32" t="inlineStr">
        <is>
          <t>Rf: 6.8%, B: 0.95, ERP: 6.0%</t>
        </is>
      </c>
      <c r="H49" s="34" t="inlineStr">
        <is>
          <t>Rf: 6.8%, B: 1.08, ERP: 6.0%</t>
        </is>
      </c>
    </row>
    <row r="50">
      <c r="A50" s="29" t="n">
        <v>47</v>
      </c>
      <c r="B50" s="30" t="inlineStr">
        <is>
          <t>Category 2: Valuation &amp; DCF</t>
        </is>
      </c>
      <c r="C50" s="31" t="inlineStr">
        <is>
          <t>WACC / Cost of Equity (Ke)</t>
        </is>
      </c>
      <c r="D50" s="30" t="inlineStr">
        <is>
          <t>CAPM Calculation</t>
        </is>
      </c>
      <c r="E50" s="30" t="inlineStr">
        <is>
          <t>14.3%</t>
        </is>
      </c>
      <c r="F50" s="30" t="inlineStr">
        <is>
          <t>13.7%</t>
        </is>
      </c>
      <c r="G50" s="32" t="inlineStr">
        <is>
          <t>12.5%</t>
        </is>
      </c>
      <c r="H50" s="30" t="inlineStr">
        <is>
          <t>13.3%</t>
        </is>
      </c>
    </row>
    <row r="51">
      <c r="A51" s="33" t="n">
        <v>48</v>
      </c>
      <c r="B51" s="34" t="inlineStr">
        <is>
          <t>Category 2: Valuation &amp; DCF</t>
        </is>
      </c>
      <c r="C51" s="35" t="inlineStr">
        <is>
          <t>Terminal Growth Rate (g)</t>
        </is>
      </c>
      <c r="D51" s="34" t="inlineStr">
        <is>
          <t>Macro Nominal GDP Proxy</t>
        </is>
      </c>
      <c r="E51" s="34" t="inlineStr">
        <is>
          <t>5.5%</t>
        </is>
      </c>
      <c r="F51" s="34" t="inlineStr">
        <is>
          <t>6.0%</t>
        </is>
      </c>
      <c r="G51" s="32" t="inlineStr">
        <is>
          <t>6.5%</t>
        </is>
      </c>
      <c r="H51" s="34" t="inlineStr">
        <is>
          <t>6.5%</t>
        </is>
      </c>
    </row>
    <row r="52">
      <c r="A52" s="29" t="n">
        <v>49</v>
      </c>
      <c r="B52" s="30" t="inlineStr">
        <is>
          <t>Category 2: Valuation &amp; DCF</t>
        </is>
      </c>
      <c r="C52" s="31" t="inlineStr">
        <is>
          <t>1-Year Forward P/E (FY27E) &amp; 2-Year (FY28E)</t>
        </is>
      </c>
      <c r="D52" s="30" t="inlineStr">
        <is>
          <t>Relative Valuation Table</t>
        </is>
      </c>
      <c r="E52" s="30" t="inlineStr">
        <is>
          <t>43.8x / 37.5x</t>
        </is>
      </c>
      <c r="F52" s="30" t="inlineStr">
        <is>
          <t>43.4x / 36.8x</t>
        </is>
      </c>
      <c r="G52" s="32" t="inlineStr">
        <is>
          <t>36.5x / 30.2x</t>
        </is>
      </c>
      <c r="H52" s="30" t="inlineStr">
        <is>
          <t>44.5x / 36.6x</t>
        </is>
      </c>
    </row>
    <row r="53">
      <c r="A53" s="33" t="n">
        <v>50</v>
      </c>
      <c r="B53" s="34" t="inlineStr">
        <is>
          <t>Category 2: Valuation &amp; DCF</t>
        </is>
      </c>
      <c r="C53" s="35" t="inlineStr">
        <is>
          <t>1-Year Forward EV/EBITDA (FY27E &amp; FY28E)</t>
        </is>
      </c>
      <c r="D53" s="34" t="inlineStr">
        <is>
          <t>Relative Valuation Table</t>
        </is>
      </c>
      <c r="E53" s="34" t="inlineStr">
        <is>
          <t>34.5x / 29.5x</t>
        </is>
      </c>
      <c r="F53" s="34" t="inlineStr">
        <is>
          <t>34.6x / 29.3x</t>
        </is>
      </c>
      <c r="G53" s="32" t="inlineStr">
        <is>
          <t>25.8x / 21.4x</t>
        </is>
      </c>
      <c r="H53" s="34" t="inlineStr">
        <is>
          <t>30.8x / 25.4x</t>
        </is>
      </c>
    </row>
    <row r="54">
      <c r="A54" s="29" t="n">
        <v>51</v>
      </c>
      <c r="B54" s="30" t="inlineStr">
        <is>
          <t>Category 3: Financial Due Diligence</t>
        </is>
      </c>
      <c r="C54" s="31" t="inlineStr">
        <is>
          <t>Top-5 Customer Revenue Concentration (%)</t>
        </is>
      </c>
      <c r="D54" s="30" t="inlineStr">
        <is>
          <t>Annual Report Notes</t>
        </is>
      </c>
      <c r="E54" s="30" t="inlineStr">
        <is>
          <t>~38% (Top proprietary &amp; discount brokers)</t>
        </is>
      </c>
      <c r="F54" s="30" t="inlineStr">
        <is>
          <t>~26% (Top discount broker DPs)</t>
        </is>
      </c>
      <c r="G54" s="32" t="inlineStr">
        <is>
          <t>~56% (Top 5 AMCs: HDFC, ICICI, SBI, Kotak, Axis)</t>
        </is>
      </c>
      <c r="H54" s="30" t="inlineStr">
        <is>
          <t>~36% (More fragmented across mid-sized AMCs)</t>
        </is>
      </c>
    </row>
    <row r="55">
      <c r="A55" s="33" t="n">
        <v>52</v>
      </c>
      <c r="B55" s="34" t="inlineStr">
        <is>
          <t>Category 3: Financial Due Diligence</t>
        </is>
      </c>
      <c r="C55" s="35" t="inlineStr">
        <is>
          <t>Top-10 Customer Revenue Concentration (%)</t>
        </is>
      </c>
      <c r="D55" s="34" t="inlineStr">
        <is>
          <t>Annual Report Notes</t>
        </is>
      </c>
      <c r="E55" s="34" t="inlineStr">
        <is>
          <t>~55%</t>
        </is>
      </c>
      <c r="F55" s="34" t="inlineStr">
        <is>
          <t>~42%</t>
        </is>
      </c>
      <c r="G55" s="32" t="inlineStr">
        <is>
          <t>~74% (Long-tenured 20+ yr contracts)</t>
        </is>
      </c>
      <c r="H55" s="34" t="inlineStr">
        <is>
          <t>~52%</t>
        </is>
      </c>
    </row>
    <row r="56">
      <c r="A56" s="29" t="n">
        <v>53</v>
      </c>
      <c r="B56" s="30" t="inlineStr">
        <is>
          <t>Category 3: Financial Due Diligence</t>
        </is>
      </c>
      <c r="C56" s="31" t="inlineStr">
        <is>
          <t>Product Mix: Core Business (%)</t>
        </is>
      </c>
      <c r="D56" s="30" t="inlineStr">
        <is>
          <t>Segment Reporting</t>
        </is>
      </c>
      <c r="E56" s="30" t="inlineStr">
        <is>
          <t>68% Transaction Charges (mostly Options)</t>
        </is>
      </c>
      <c r="F56" s="30" t="inlineStr">
        <is>
          <t>52% Transaction + IPO/Corporate Action</t>
        </is>
      </c>
      <c r="G56" s="32" t="inlineStr">
        <is>
          <t>86.5% Domestic Mutual Fund RTA</t>
        </is>
      </c>
      <c r="H56" s="30" t="inlineStr">
        <is>
          <t>70.0% Domestic Mutual Fund Solutions</t>
        </is>
      </c>
    </row>
    <row r="57">
      <c r="A57" s="33" t="n">
        <v>54</v>
      </c>
      <c r="B57" s="34" t="inlineStr">
        <is>
          <t>Category 3: Financial Due Diligence</t>
        </is>
      </c>
      <c r="C57" s="35" t="inlineStr">
        <is>
          <t>Product Mix: Non-Core / Emerging (%)</t>
        </is>
      </c>
      <c r="D57" s="34" t="inlineStr">
        <is>
          <t>Segment Reporting</t>
        </is>
      </c>
      <c r="E57" s="34" t="inlineStr">
        <is>
          <t>32% Listing, Colocation, Book Building</t>
        </is>
      </c>
      <c r="F57" s="34" t="inlineStr">
        <is>
          <t>48% Annual Issuer Charges, KYC (CVL), e-Voting</t>
        </is>
      </c>
      <c r="G57" s="32" t="inlineStr">
        <is>
          <t>13.5% AIF/PMS, CAMSPay, NPS, Account Aggregator</t>
        </is>
      </c>
      <c r="H57" s="34" t="inlineStr">
        <is>
          <t>30.0% Issuer Solutions (15%), Intl/Other (15%)</t>
        </is>
      </c>
    </row>
    <row r="58">
      <c r="A58" s="29" t="n">
        <v>55</v>
      </c>
      <c r="B58" s="30" t="inlineStr">
        <is>
          <t>Category 3: Financial Due Diligence</t>
        </is>
      </c>
      <c r="C58" s="31" t="inlineStr">
        <is>
          <t>Asset vs. Non-Asset Linked Revenue Mix</t>
        </is>
      </c>
      <c r="D58" s="30" t="inlineStr">
        <is>
          <t>Investor Presentation</t>
        </is>
      </c>
      <c r="E58" s="30" t="inlineStr">
        <is>
          <t>0% Asset-linked / 100% Volume &amp; Fixed</t>
        </is>
      </c>
      <c r="F58" s="30" t="inlineStr">
        <is>
          <t>0% Asset-linked / 100% Account &amp; Txn</t>
        </is>
      </c>
      <c r="G58" s="32" t="inlineStr">
        <is>
          <t>82% AAUM-linked / 18% Transaction &amp; SaaS</t>
        </is>
      </c>
      <c r="H58" s="30" t="inlineStr">
        <is>
          <t>68% AAUM-linked / 32% Folio &amp; SaaS</t>
        </is>
      </c>
    </row>
    <row r="59">
      <c r="A59" s="33" t="n">
        <v>56</v>
      </c>
      <c r="B59" s="34" t="inlineStr">
        <is>
          <t>Category 3: Financial Due Diligence</t>
        </is>
      </c>
      <c r="C59" s="35" t="inlineStr">
        <is>
          <t>Related-Party Transactions (RPT) (% of Rev)</t>
        </is>
      </c>
      <c r="D59" s="34" t="inlineStr">
        <is>
          <t>Corporate Governance Report</t>
        </is>
      </c>
      <c r="E59" s="34" t="inlineStr">
        <is>
          <t>~8.5% (ICCL clearing, CDSL associate flows)</t>
        </is>
      </c>
      <c r="F59" s="34" t="inlineStr">
        <is>
          <t>~3.2% (BSE promoter/associate flows)</t>
        </is>
      </c>
      <c r="G59" s="32" t="inlineStr">
        <is>
          <t>&lt;1.2% (Arm's-length subsidiary IT/admin only)</t>
        </is>
      </c>
      <c r="H59" s="34" t="inlineStr">
        <is>
          <t>~2.1% (General Atlantic / subsidiary services)</t>
        </is>
      </c>
    </row>
    <row r="60">
      <c r="A60" s="29" t="n">
        <v>57</v>
      </c>
      <c r="B60" s="30" t="inlineStr">
        <is>
          <t>Category 3: Financial Due Diligence</t>
        </is>
      </c>
      <c r="C60" s="31" t="inlineStr">
        <is>
          <t>OCF / EBITDA Conversion Ratio (3Y Avg)</t>
        </is>
      </c>
      <c r="D60" s="30" t="inlineStr">
        <is>
          <t>Cash Flow Reconciliation</t>
        </is>
      </c>
      <c r="E60" s="30" t="inlineStr">
        <is>
          <t>78% (impacted by clearing/SGF working capital)</t>
        </is>
      </c>
      <c r="F60" s="30" t="inlineStr">
        <is>
          <t>81%</t>
        </is>
      </c>
      <c r="G60" s="32" t="inlineStr">
        <is>
          <t>84.5% (Cleanest pre-tax to post-tax OCF)</t>
        </is>
      </c>
      <c r="H60" s="30" t="inlineStr">
        <is>
          <t>71.5% (dragged by higher receivables)</t>
        </is>
      </c>
    </row>
    <row r="61">
      <c r="A61" s="33" t="n">
        <v>58</v>
      </c>
      <c r="B61" s="34" t="inlineStr">
        <is>
          <t>Category 3: Financial Due Diligence</t>
        </is>
      </c>
      <c r="C61" s="35" t="inlineStr">
        <is>
          <t>FCF / PAT Conversion Ratio (3Y Avg)</t>
        </is>
      </c>
      <c r="D61" s="34" t="inlineStr">
        <is>
          <t>Cash Flow Reconciliation</t>
        </is>
      </c>
      <c r="E61" s="34" t="inlineStr">
        <is>
          <t>87%</t>
        </is>
      </c>
      <c r="F61" s="34" t="inlineStr">
        <is>
          <t>87%</t>
        </is>
      </c>
      <c r="G61" s="32" t="inlineStr">
        <is>
          <t>94.0% (High cash earnings quality)</t>
        </is>
      </c>
      <c r="H61" s="34" t="inlineStr">
        <is>
          <t>81.5%</t>
        </is>
      </c>
    </row>
    <row r="62">
      <c r="A62" s="29" t="n">
        <v>59</v>
      </c>
      <c r="B62" s="30" t="inlineStr">
        <is>
          <t>Category 3: Financial Due Diligence</t>
        </is>
      </c>
      <c r="C62" s="31" t="inlineStr">
        <is>
          <t>Trade Receivables / DSO (Days Sales Outstanding)</t>
        </is>
      </c>
      <c r="D62" s="30" t="inlineStr">
        <is>
          <t>Balance Sheet Schedules</t>
        </is>
      </c>
      <c r="E62" s="30" t="inlineStr">
        <is>
          <t>24 days</t>
        </is>
      </c>
      <c r="F62" s="30" t="inlineStr">
        <is>
          <t>31 days</t>
        </is>
      </c>
      <c r="G62" s="32" t="inlineStr">
        <is>
          <t>21 days (Direct monthly AMC debit recovery)</t>
        </is>
      </c>
      <c r="H62" s="30" t="inlineStr">
        <is>
          <t>54 days (Issuer solutions &amp; overseas billing lags)</t>
        </is>
      </c>
    </row>
    <row r="63">
      <c r="A63" s="33" t="n">
        <v>60</v>
      </c>
      <c r="B63" s="34" t="inlineStr">
        <is>
          <t>Category 3: Financial Due Diligence</t>
        </is>
      </c>
      <c r="C63" s="35" t="inlineStr">
        <is>
          <t>Bad Debt Provisioning / Receivables &gt; 6 Months</t>
        </is>
      </c>
      <c r="D63" s="34" t="inlineStr">
        <is>
          <t>Footnote Schedules</t>
        </is>
      </c>
      <c r="E63" s="34" t="inlineStr">
        <is>
          <t>1.8% of gross receivables</t>
        </is>
      </c>
      <c r="F63" s="34" t="inlineStr">
        <is>
          <t>3.4% (legacy uncollected issuer annual fees)</t>
        </is>
      </c>
      <c r="G63" s="32" t="inlineStr">
        <is>
          <t>0.6% (Negligible credit default risk from AMCs)</t>
        </is>
      </c>
      <c r="H63" s="34" t="inlineStr">
        <is>
          <t>2.9% (Corporate issuer delays)</t>
        </is>
      </c>
    </row>
    <row r="64">
      <c r="A64" s="29" t="n">
        <v>61</v>
      </c>
      <c r="B64" s="30" t="inlineStr">
        <is>
          <t>Category 3: Financial Due Diligence</t>
        </is>
      </c>
      <c r="C64" s="31" t="inlineStr">
        <is>
          <t>Intangible Capitalisation Policy</t>
        </is>
      </c>
      <c r="D64" s="30" t="inlineStr">
        <is>
          <t>Accounting Policy Notes</t>
        </is>
      </c>
      <c r="E64" s="30" t="inlineStr">
        <is>
          <t>Expensed mostly; hardware capitalised</t>
        </is>
      </c>
      <c r="F64" s="30" t="inlineStr">
        <is>
          <t>Conservative; core ledger upgrades expensed</t>
        </is>
      </c>
      <c r="G64" s="32" t="inlineStr">
        <is>
          <t>Conservative: In-house IT dev largely expensed</t>
        </is>
      </c>
      <c r="H64" s="30" t="inlineStr">
        <is>
          <t>Aggressive: Capitalises internal software dev (~3.5% rev)</t>
        </is>
      </c>
    </row>
    <row r="65">
      <c r="A65" s="33" t="n">
        <v>62</v>
      </c>
      <c r="B65" s="34" t="inlineStr">
        <is>
          <t>Category 3: Financial Due Diligence</t>
        </is>
      </c>
      <c r="C65" s="35" t="inlineStr">
        <is>
          <t>Goodwill &amp; Acquisition Intangibles (% Net Worth)</t>
        </is>
      </c>
      <c r="D65" s="34" t="inlineStr">
        <is>
          <t>Balance Sheet</t>
        </is>
      </c>
      <c r="E65" s="34" t="inlineStr">
        <is>
          <t>4.2%</t>
        </is>
      </c>
      <c r="F65" s="34" t="inlineStr">
        <is>
          <t>0.0%</t>
        </is>
      </c>
      <c r="G65" s="32" t="inlineStr">
        <is>
          <t>14.5% (Think360 AI &amp; Fintuple acquisitions)</t>
        </is>
      </c>
      <c r="H65" s="34" t="inlineStr">
        <is>
          <t>48.0% (High legacy goodwill from Karvy/Hexagram M&amp;A)</t>
        </is>
      </c>
    </row>
    <row r="66">
      <c r="A66" s="29" t="n">
        <v>63</v>
      </c>
      <c r="B66" s="30" t="inlineStr">
        <is>
          <t>Category 3: Financial Due Diligence</t>
        </is>
      </c>
      <c r="C66" s="31" t="inlineStr">
        <is>
          <t>Employee Cost Structure (% of Revenue)</t>
        </is>
      </c>
      <c r="D66" s="30" t="inlineStr">
        <is>
          <t>P&amp;L Statement</t>
        </is>
      </c>
      <c r="E66" s="30" t="inlineStr">
        <is>
          <t>11.5%</t>
        </is>
      </c>
      <c r="F66" s="30" t="inlineStr">
        <is>
          <t>12.0%</t>
        </is>
      </c>
      <c r="G66" s="32" t="inlineStr">
        <is>
          <t>32.5% (Domain ops + tech engineers)</t>
        </is>
      </c>
      <c r="H66" s="30" t="inlineStr">
        <is>
          <t>36.0%</t>
        </is>
      </c>
    </row>
    <row r="67">
      <c r="A67" s="33" t="n">
        <v>64</v>
      </c>
      <c r="B67" s="34" t="inlineStr">
        <is>
          <t>Category 3: Financial Due Diligence</t>
        </is>
      </c>
      <c r="C67" s="35" t="inlineStr">
        <is>
          <t>ESOP Dilution &amp; Annual Charge (% of PBT)</t>
        </is>
      </c>
      <c r="D67" s="34" t="inlineStr">
        <is>
          <t>Notes to Accounts</t>
        </is>
      </c>
      <c r="E67" s="34" t="inlineStr">
        <is>
          <t>0.4%</t>
        </is>
      </c>
      <c r="F67" s="34" t="inlineStr">
        <is>
          <t>0.0%</t>
        </is>
      </c>
      <c r="G67" s="32" t="inlineStr">
        <is>
          <t>1.8% (Well-aligned management ESOP scheme)</t>
        </is>
      </c>
      <c r="H67" s="34" t="inlineStr">
        <is>
          <t>2.4%</t>
        </is>
      </c>
    </row>
    <row r="68">
      <c r="A68" s="29" t="n">
        <v>65</v>
      </c>
      <c r="B68" s="30" t="inlineStr">
        <is>
          <t>Category 3: Financial Due Diligence</t>
        </is>
      </c>
      <c r="C68" s="31" t="inlineStr">
        <is>
          <t>Contingent Liabilities (% of Net Worth)</t>
        </is>
      </c>
      <c r="D68" s="30" t="inlineStr">
        <is>
          <t>Commitments &amp; Contingencies Note</t>
        </is>
      </c>
      <c r="E68" s="30" t="inlineStr">
        <is>
          <t>18.5% (SEBI regulatory fee &amp; tax disputes)</t>
        </is>
      </c>
      <c r="F68" s="30" t="inlineStr">
        <is>
          <t>6.8% (Service tax / IT matters)</t>
        </is>
      </c>
      <c r="G68" s="32" t="inlineStr">
        <is>
          <t>3.2% (Minor income tax &amp; operational claims)</t>
        </is>
      </c>
      <c r="H68" s="30" t="inlineStr">
        <is>
          <t>8.4% (Indemnities &amp; legacy Karvy demerger claims)</t>
        </is>
      </c>
    </row>
    <row r="69">
      <c r="A69" s="33" t="n">
        <v>66</v>
      </c>
      <c r="B69" s="34" t="inlineStr">
        <is>
          <t>Category 3: Financial Due Diligence</t>
        </is>
      </c>
      <c r="C69" s="35" t="inlineStr">
        <is>
          <t>Operational / Service Level Agreement (SLA) Claims</t>
        </is>
      </c>
      <c r="D69" s="34" t="inlineStr">
        <is>
          <t>Risk Disclosures</t>
        </is>
      </c>
      <c r="E69" s="34" t="inlineStr">
        <is>
          <t>Outage penalties payable to Core SGF</t>
        </is>
      </c>
      <c r="F69" s="34" t="inlineStr">
        <is>
          <t>Cyber/outage scrutiny by SEBI</t>
        </is>
      </c>
      <c r="G69" s="32" t="inlineStr">
        <is>
          <t>&lt;0.1% of revenue (Zero major SLA breaches)</t>
        </is>
      </c>
      <c r="H69" s="34" t="inlineStr">
        <is>
          <t>&lt;0.2% of revenue</t>
        </is>
      </c>
    </row>
    <row r="70">
      <c r="A70" s="29" t="n">
        <v>67</v>
      </c>
      <c r="B70" s="30" t="inlineStr">
        <is>
          <t>Category 3: Financial Due Diligence</t>
        </is>
      </c>
      <c r="C70" s="31" t="inlineStr">
        <is>
          <t>Promoter / Anchor Shareholding &amp; Overhang</t>
        </is>
      </c>
      <c r="D70" s="30" t="inlineStr">
        <is>
          <t>BSE/NSE Shareholding Pattern</t>
        </is>
      </c>
      <c r="E70" s="30" t="inlineStr">
        <is>
          <t>0% Promoter (100% public/institutional)</t>
        </is>
      </c>
      <c r="F70" s="30" t="inlineStr">
        <is>
          <t>15% BSE (subject to regulatory cap norms)</t>
        </is>
      </c>
      <c r="G70" s="32" t="inlineStr">
        <is>
          <t>0% Promoter (100% Institutional/Public)</t>
        </is>
      </c>
      <c r="H70" s="30" t="inlineStr">
        <is>
          <t>~32.9% General Atlantic (PE exit overhang risk)</t>
        </is>
      </c>
    </row>
    <row r="71">
      <c r="A71" s="33" t="n">
        <v>68</v>
      </c>
      <c r="B71" s="34" t="inlineStr">
        <is>
          <t>Category 3: Financial Due Diligence</t>
        </is>
      </c>
      <c r="C71" s="35" t="inlineStr">
        <is>
          <t>Board Independence &amp; Audit Quality</t>
        </is>
      </c>
      <c r="D71" s="34" t="inlineStr">
        <is>
          <t>Governance Report</t>
        </is>
      </c>
      <c r="E71" s="34" t="inlineStr">
        <is>
          <t>Public Interest Directors (PIDs) majority; SRBC</t>
        </is>
      </c>
      <c r="F71" s="34" t="inlineStr">
        <is>
          <t>SEBI-approved PIDs majority; S.R. Batliboi</t>
        </is>
      </c>
      <c r="G71" s="32" t="inlineStr">
        <is>
          <t>75% Independent Board; Brahmayya / Big-4 IA</t>
        </is>
      </c>
      <c r="H71" s="34" t="inlineStr">
        <is>
          <t>50% Independent; B S R &amp; Co.</t>
        </is>
      </c>
    </row>
    <row r="72">
      <c r="A72" s="29" t="n">
        <v>69</v>
      </c>
      <c r="B72" s="30" t="inlineStr">
        <is>
          <t>Category 3: Financial Due Diligence</t>
        </is>
      </c>
      <c r="C72" s="31" t="inlineStr">
        <is>
          <t>Dividend Payout + Buyback Ratio (%)</t>
        </is>
      </c>
      <c r="D72" s="30" t="inlineStr">
        <is>
          <t>Cash Flow Statement</t>
        </is>
      </c>
      <c r="E72" s="30" t="inlineStr">
        <is>
          <t>~55%</t>
        </is>
      </c>
      <c r="F72" s="30" t="inlineStr">
        <is>
          <t>~60%</t>
        </is>
      </c>
      <c r="G72" s="32" t="inlineStr">
        <is>
          <t>~68% (Stated 65%+ distribution policy)</t>
        </is>
      </c>
      <c r="H72" s="30" t="inlineStr">
        <is>
          <t>~35% (Retaining cash for M&amp;A)</t>
        </is>
      </c>
    </row>
    <row r="73">
      <c r="A73" s="33" t="n">
        <v>70</v>
      </c>
      <c r="B73" s="34" t="inlineStr">
        <is>
          <t>Category 3: Financial Due Diligence</t>
        </is>
      </c>
      <c r="C73" s="35" t="inlineStr">
        <is>
          <t>Key Accounting / Audit Flag for Thesis</t>
        </is>
      </c>
      <c r="D73" s="34" t="inlineStr">
        <is>
          <t>Due Diligence Synthesis</t>
        </is>
      </c>
      <c r="E73" s="34" t="inlineStr">
        <is>
          <t>Clearing fee variability &amp; SGF transfers</t>
        </is>
      </c>
      <c r="F73" s="34" t="inlineStr">
        <is>
          <t>Dependence on market-linked KYC &amp; IPO surges</t>
        </is>
      </c>
      <c r="G73" s="32" t="inlineStr">
        <is>
          <t>High top-5 AMC concentration (0% churn in 20 yrs)</t>
        </is>
      </c>
      <c r="H73" s="34" t="inlineStr">
        <is>
          <t>Capitalised software costs inflate near-term EBITDA</t>
        </is>
      </c>
    </row>
    <row r="74">
      <c r="A74" s="29" t="n">
        <v>71</v>
      </c>
      <c r="B74" s="30" t="inlineStr">
        <is>
          <t>Category 4: Scenarios &amp; IC Deployment</t>
        </is>
      </c>
      <c r="C74" s="31" t="inlineStr">
        <is>
          <t>Mandatory Shock 1: -30% Derivatives Turnover Impact</t>
        </is>
      </c>
      <c r="D74" s="30" t="inlineStr">
        <is>
          <t>Scenario Model</t>
        </is>
      </c>
      <c r="E74" s="30" t="inlineStr">
        <is>
          <t>-18.5% Total Revenue hit</t>
        </is>
      </c>
      <c r="F74" s="30" t="inlineStr">
        <is>
          <t>-1.5% Revenue hit</t>
        </is>
      </c>
      <c r="G74" s="32" t="inlineStr">
        <is>
          <t>0.0% Direct Revenue hit</t>
        </is>
      </c>
      <c r="H74" s="30" t="inlineStr">
        <is>
          <t>0.0% Direct Revenue hit</t>
        </is>
      </c>
    </row>
    <row r="75">
      <c r="A75" s="33" t="n">
        <v>72</v>
      </c>
      <c r="B75" s="34" t="inlineStr">
        <is>
          <t>Category 4: Scenarios &amp; IC Deployment</t>
        </is>
      </c>
      <c r="C75" s="35" t="inlineStr">
        <is>
          <t>Mandatory Shock 2: -20% Equity Drawdown Impact</t>
        </is>
      </c>
      <c r="D75" s="34" t="inlineStr">
        <is>
          <t>Scenario Model</t>
        </is>
      </c>
      <c r="E75" s="34" t="inlineStr">
        <is>
          <t>-8.0% Cash/Listing Revenue hit</t>
        </is>
      </c>
      <c r="F75" s="34" t="inlineStr">
        <is>
          <t>-16.5% (Cash delivery, IPO &amp; KYC freeze)</t>
        </is>
      </c>
      <c r="G75" s="32" t="inlineStr">
        <is>
          <t>-9.8% Total Revenue hit (buffered by SIPs)</t>
        </is>
      </c>
      <c r="H75" s="34" t="inlineStr">
        <is>
          <t>-8.2% Total Revenue hit (Equity MF + Issuer)</t>
        </is>
      </c>
    </row>
    <row r="76">
      <c r="A76" s="29" t="n">
        <v>73</v>
      </c>
      <c r="B76" s="30" t="inlineStr">
        <is>
          <t>Category 4: Scenarios &amp; IC Deployment</t>
        </is>
      </c>
      <c r="C76" s="31" t="inlineStr">
        <is>
          <t>Combined Mandatory Bear Shock Impact on FY27E Rev</t>
        </is>
      </c>
      <c r="D76" s="30" t="inlineStr">
        <is>
          <t>Scenario Model</t>
        </is>
      </c>
      <c r="E76" s="30" t="inlineStr">
        <is>
          <t>-26.5% vs. Base Case</t>
        </is>
      </c>
      <c r="F76" s="30" t="inlineStr">
        <is>
          <t>-18.0% vs. Base Case</t>
        </is>
      </c>
      <c r="G76" s="32" t="inlineStr">
        <is>
          <t>-9.8% vs. Base Case</t>
        </is>
      </c>
      <c r="H76" s="30" t="inlineStr">
        <is>
          <t>-8.2% vs. Base Case</t>
        </is>
      </c>
    </row>
    <row r="77">
      <c r="A77" s="33" t="n">
        <v>74</v>
      </c>
      <c r="B77" s="34" t="inlineStr">
        <is>
          <t>Category 4: Scenarios &amp; IC Deployment</t>
        </is>
      </c>
      <c r="C77" s="35" t="inlineStr">
        <is>
          <t>Combined Bear Shock Impact on EBITDA Margin (bps)</t>
        </is>
      </c>
      <c r="D77" s="34" t="inlineStr">
        <is>
          <t>Operating Leverage Model</t>
        </is>
      </c>
      <c r="E77" s="34" t="inlineStr">
        <is>
          <t>-920 bps (falls to 43.3%)</t>
        </is>
      </c>
      <c r="F77" s="34" t="inlineStr">
        <is>
          <t>-640 bps (falls to 53.6%)</t>
        </is>
      </c>
      <c r="G77" s="32" t="inlineStr">
        <is>
          <t>-340 bps (falls to 43.1% via variable flex)</t>
        </is>
      </c>
      <c r="H77" s="34" t="inlineStr">
        <is>
          <t>-360 bps (falls to 40.9%)</t>
        </is>
      </c>
    </row>
    <row r="78">
      <c r="A78" s="29" t="n">
        <v>75</v>
      </c>
      <c r="B78" s="30" t="inlineStr">
        <is>
          <t>Category 4: Scenarios &amp; IC Deployment</t>
        </is>
      </c>
      <c r="C78" s="31" t="inlineStr">
        <is>
          <t>Combined Bear Shock Impact on FY27E EPS (%)</t>
        </is>
      </c>
      <c r="D78" s="30" t="inlineStr">
        <is>
          <t>Scenario Model</t>
        </is>
      </c>
      <c r="E78" s="30" t="inlineStr">
        <is>
          <t>-38.4% vs. Base Case</t>
        </is>
      </c>
      <c r="F78" s="30" t="inlineStr">
        <is>
          <t>-26.8% vs. Base Case</t>
        </is>
      </c>
      <c r="G78" s="32" t="inlineStr">
        <is>
          <t>-15.6% vs. Base Case</t>
        </is>
      </c>
      <c r="H78" s="30" t="inlineStr">
        <is>
          <t>-15.2% vs. Base Case</t>
        </is>
      </c>
    </row>
    <row r="79">
      <c r="A79" s="33" t="n">
        <v>76</v>
      </c>
      <c r="B79" s="34" t="inlineStr">
        <is>
          <t>Category 4: Scenarios &amp; IC Deployment</t>
        </is>
      </c>
      <c r="C79" s="35" t="inlineStr">
        <is>
          <t>Bear Case Target P/E Multiple (De-rating)</t>
        </is>
      </c>
      <c r="D79" s="34" t="inlineStr">
        <is>
          <t>Historical Trough Multiples</t>
        </is>
      </c>
      <c r="E79" s="34" t="inlineStr">
        <is>
          <t>26.0x (down from 43.8x)</t>
        </is>
      </c>
      <c r="F79" s="34" t="inlineStr">
        <is>
          <t>28.0x (down from 43.4x)</t>
        </is>
      </c>
      <c r="G79" s="32" t="inlineStr">
        <is>
          <t>31.5x (scarcity &amp; 68% payout support floor)</t>
        </is>
      </c>
      <c r="H79" s="34" t="inlineStr">
        <is>
          <t>29.0x (down from 44.5x)</t>
        </is>
      </c>
    </row>
    <row r="80">
      <c r="A80" s="29" t="n">
        <v>77</v>
      </c>
      <c r="B80" s="30" t="inlineStr">
        <is>
          <t>Category 4: Scenarios &amp; IC Deployment</t>
        </is>
      </c>
      <c r="C80" s="31" t="inlineStr">
        <is>
          <t>Bear Case 12-Month Target Price (Rs)</t>
        </is>
      </c>
      <c r="D80" s="30" t="inlineStr">
        <is>
          <t>Scenario Output</t>
        </is>
      </c>
      <c r="E80" s="30" t="inlineStr">
        <is>
          <t>Rs 2,760</t>
        </is>
      </c>
      <c r="F80" s="30" t="inlineStr">
        <is>
          <t>Rs 1,075</t>
        </is>
      </c>
      <c r="G80" s="32" t="inlineStr">
        <is>
          <t>Rs 3,910</t>
        </is>
      </c>
      <c r="H80" s="30" t="inlineStr">
        <is>
          <t>Rs 830</t>
        </is>
      </c>
    </row>
    <row r="81">
      <c r="A81" s="33" t="n">
        <v>78</v>
      </c>
      <c r="B81" s="34" t="inlineStr">
        <is>
          <t>Category 4: Scenarios &amp; IC Deployment</t>
        </is>
      </c>
      <c r="C81" s="35" t="inlineStr">
        <is>
          <t>Bear Case Implied Downside from CMP (%)</t>
        </is>
      </c>
      <c r="D81" s="34" t="inlineStr">
        <is>
          <t>Calculated (#77 / #23 - 1)</t>
        </is>
      </c>
      <c r="E81" s="34" t="inlineStr">
        <is>
          <t>-40.6% Downside</t>
        </is>
      </c>
      <c r="F81" s="34" t="inlineStr">
        <is>
          <t>-32.0% Downside</t>
        </is>
      </c>
      <c r="G81" s="32" t="inlineStr">
        <is>
          <t>-11.5% Downside (Most defensive)</t>
        </is>
      </c>
      <c r="H81" s="34" t="inlineStr">
        <is>
          <t>-27.2% Downside</t>
        </is>
      </c>
    </row>
    <row r="82">
      <c r="A82" s="29" t="n">
        <v>79</v>
      </c>
      <c r="B82" s="30" t="inlineStr">
        <is>
          <t>Category 4: Scenarios &amp; IC Deployment</t>
        </is>
      </c>
      <c r="C82" s="31" t="inlineStr">
        <is>
          <t>Base Case 12-Month Target Price (Rs) &amp; Upside (%)</t>
        </is>
      </c>
      <c r="D82" s="30" t="inlineStr">
        <is>
          <t>DCF + Relative Blend</t>
        </is>
      </c>
      <c r="E82" s="30" t="inlineStr">
        <is>
          <t>Rs 4,850 (+4.3%)</t>
        </is>
      </c>
      <c r="F82" s="30" t="inlineStr">
        <is>
          <t>Rs 1,690 (+7.0%)</t>
        </is>
      </c>
      <c r="G82" s="32" t="inlineStr">
        <is>
          <t>Rs 5,460 (+23.5% Upside)</t>
        </is>
      </c>
      <c r="H82" s="30" t="inlineStr">
        <is>
          <t>Rs 1,280 (+12.3%)</t>
        </is>
      </c>
    </row>
    <row r="83">
      <c r="A83" s="33" t="n">
        <v>80</v>
      </c>
      <c r="B83" s="34" t="inlineStr">
        <is>
          <t>Category 4: Scenarios &amp; IC Deployment</t>
        </is>
      </c>
      <c r="C83" s="35" t="inlineStr">
        <is>
          <t>Bull Case Assumptions (Drivers)</t>
        </is>
      </c>
      <c r="D83" s="34" t="inlineStr">
        <is>
          <t>Scenario Model</t>
        </is>
      </c>
      <c r="E83" s="34" t="inlineStr">
        <is>
          <t>Options share hits 35%; colocation doubles</t>
        </is>
      </c>
      <c r="F83" s="34" t="inlineStr">
        <is>
          <t>Demat +25% YoY; KYC pricing hike</t>
        </is>
      </c>
      <c r="G83" s="32" t="inlineStr">
        <is>
          <t>Equity AAUM +28% YoY; Yield cut slows to -1.5%</t>
        </is>
      </c>
      <c r="H83" s="34" t="inlineStr">
        <is>
          <t>Global AUM +40%; wins 2 domestic AMCs</t>
        </is>
      </c>
    </row>
    <row r="84">
      <c r="A84" s="29" t="n">
        <v>81</v>
      </c>
      <c r="B84" s="30" t="inlineStr">
        <is>
          <t>Category 4: Scenarios &amp; IC Deployment</t>
        </is>
      </c>
      <c r="C84" s="31" t="inlineStr">
        <is>
          <t>Bull Case 12-Month Target Price (Rs) &amp; Upside (%)</t>
        </is>
      </c>
      <c r="D84" s="30" t="inlineStr">
        <is>
          <t>Scenario Output</t>
        </is>
      </c>
      <c r="E84" s="30" t="inlineStr">
        <is>
          <t>Rs 5,950 (+28.0%)</t>
        </is>
      </c>
      <c r="F84" s="30" t="inlineStr">
        <is>
          <t>Rs 2,040 (+29.1%)</t>
        </is>
      </c>
      <c r="G84" s="32" t="inlineStr">
        <is>
          <t>Rs 6,380 (+44.3% Upside)</t>
        </is>
      </c>
      <c r="H84" s="30" t="inlineStr">
        <is>
          <t>Rs 1,540 (+35.1%)</t>
        </is>
      </c>
    </row>
    <row r="85">
      <c r="A85" s="33" t="n">
        <v>82</v>
      </c>
      <c r="B85" s="34" t="inlineStr">
        <is>
          <t>Category 4: Scenarios &amp; IC Deployment</t>
        </is>
      </c>
      <c r="C85" s="35" t="inlineStr">
        <is>
          <t>Risk-Adjusted Return Ratio (Base Upside / Bear Downside)</t>
        </is>
      </c>
      <c r="D85" s="34" t="inlineStr">
        <is>
          <t>IC Selection Metric</t>
        </is>
      </c>
      <c r="E85" s="34" t="inlineStr">
        <is>
          <t>0.11x</t>
        </is>
      </c>
      <c r="F85" s="34" t="inlineStr">
        <is>
          <t>0.22x</t>
        </is>
      </c>
      <c r="G85" s="32" t="inlineStr">
        <is>
          <t>2.04x (Clear Institutional Winner)</t>
        </is>
      </c>
      <c r="H85" s="34" t="inlineStr">
        <is>
          <t>0.45x</t>
        </is>
      </c>
    </row>
    <row r="86">
      <c r="A86" s="29" t="n">
        <v>83</v>
      </c>
      <c r="B86" s="30" t="inlineStr">
        <is>
          <t>Category 4: Scenarios &amp; IC Deployment</t>
        </is>
      </c>
      <c r="C86" s="31" t="inlineStr">
        <is>
          <t>Sensitivity 1: +/- 100 bps Change in WACC on TP</t>
        </is>
      </c>
      <c r="D86" s="30" t="inlineStr">
        <is>
          <t>DCF Sensitivity</t>
        </is>
      </c>
      <c r="E86" s="30" t="inlineStr">
        <is>
          <t>+/- 11.2%</t>
        </is>
      </c>
      <c r="F86" s="30" t="inlineStr">
        <is>
          <t>+/- 12.0%</t>
        </is>
      </c>
      <c r="G86" s="32" t="inlineStr">
        <is>
          <t>-11.4% (Rs 4,838) / +15.2% (Rs 6,290)</t>
        </is>
      </c>
      <c r="H86" s="30" t="inlineStr">
        <is>
          <t>+/- 13.1%</t>
        </is>
      </c>
    </row>
    <row r="87">
      <c r="A87" s="33" t="n">
        <v>84</v>
      </c>
      <c r="B87" s="34" t="inlineStr">
        <is>
          <t>Category 4: Scenarios &amp; IC Deployment</t>
        </is>
      </c>
      <c r="C87" s="35" t="inlineStr">
        <is>
          <t>Sensitivity 2: +/- 1.0% Change in Annual Yield Cut</t>
        </is>
      </c>
      <c r="D87" s="34" t="inlineStr">
        <is>
          <t>DCF Sensitivity</t>
        </is>
      </c>
      <c r="E87" s="34" t="inlineStr">
        <is>
          <t>+/- 8.5%</t>
        </is>
      </c>
      <c r="F87" s="34" t="inlineStr">
        <is>
          <t>+/- 7.2%</t>
        </is>
      </c>
      <c r="G87" s="32" t="inlineStr">
        <is>
          <t>-6.8% (Rs 5,088) / +7.4% (Rs 5,865)</t>
        </is>
      </c>
      <c r="H87" s="34" t="inlineStr">
        <is>
          <t>+/- 6.2%</t>
        </is>
      </c>
    </row>
    <row r="88">
      <c r="A88" s="29" t="n">
        <v>85</v>
      </c>
      <c r="B88" s="30" t="inlineStr">
        <is>
          <t>Category 4: Scenarios &amp; IC Deployment</t>
        </is>
      </c>
      <c r="C88" s="31" t="inlineStr">
        <is>
          <t>Average Daily Value Traded (3M ADV, Rs Cr)</t>
        </is>
      </c>
      <c r="D88" s="30" t="inlineStr">
        <is>
          <t>NSE/BSE Trading Data</t>
        </is>
      </c>
      <c r="E88" s="30" t="inlineStr">
        <is>
          <t>Rs 620 Cr/day</t>
        </is>
      </c>
      <c r="F88" s="30" t="inlineStr">
        <is>
          <t>Rs 310 Cr/day</t>
        </is>
      </c>
      <c r="G88" s="32" t="inlineStr">
        <is>
          <t>Rs 165 Cr/day</t>
        </is>
      </c>
      <c r="H88" s="30" t="inlineStr">
        <is>
          <t>Rs 95 Cr/day</t>
        </is>
      </c>
    </row>
    <row r="89">
      <c r="A89" s="33" t="n">
        <v>86</v>
      </c>
      <c r="B89" s="34" t="inlineStr">
        <is>
          <t>Category 4: Scenarios &amp; IC Deployment</t>
        </is>
      </c>
      <c r="C89" s="35" t="inlineStr">
        <is>
          <t>Days to Deploy Rs 500 Cr at 15% of ADV</t>
        </is>
      </c>
      <c r="D89" s="34" t="inlineStr">
        <is>
          <t>Liquidity Analysis</t>
        </is>
      </c>
      <c r="E89" s="34" t="inlineStr">
        <is>
          <t>~5.4 trading days</t>
        </is>
      </c>
      <c r="F89" s="34" t="inlineStr">
        <is>
          <t>~10.8 trading days</t>
        </is>
      </c>
      <c r="G89" s="32" t="inlineStr">
        <is>
          <t>~20.2 trading days (4 weeks structured buying)</t>
        </is>
      </c>
      <c r="H89" s="34" t="inlineStr">
        <is>
          <t>~35.1 trading days (High market impact cost)</t>
        </is>
      </c>
    </row>
    <row r="90">
      <c r="A90" s="29" t="n">
        <v>87</v>
      </c>
      <c r="B90" s="30" t="inlineStr">
        <is>
          <t>Category 4: Scenarios &amp; IC Deployment</t>
        </is>
      </c>
      <c r="C90" s="31" t="inlineStr">
        <is>
          <t>Fund Ownership Stake Post Rs 500 Cr Deployment (%)</t>
        </is>
      </c>
      <c r="D90" s="30" t="inlineStr">
        <is>
          <t>Calculated (500 / #25)</t>
        </is>
      </c>
      <c r="E90" s="30" t="inlineStr">
        <is>
          <t>0.79%</t>
        </is>
      </c>
      <c r="F90" s="30" t="inlineStr">
        <is>
          <t>1.51%</t>
        </is>
      </c>
      <c r="G90" s="32" t="inlineStr">
        <is>
          <t>2.29% of CAMS Equity (&lt;5% threshold)</t>
        </is>
      </c>
      <c r="H90" s="30" t="inlineStr">
        <is>
          <t>2.54%</t>
        </is>
      </c>
    </row>
    <row r="91">
      <c r="A91" s="33" t="n">
        <v>88</v>
      </c>
      <c r="B91" s="34" t="inlineStr">
        <is>
          <t>Category 4: Scenarios &amp; IC Deployment</t>
        </is>
      </c>
      <c r="C91" s="35" t="inlineStr">
        <is>
          <t>Tranche Entry Discipline (Allocation %)</t>
        </is>
      </c>
      <c r="D91" s="34" t="inlineStr">
        <is>
          <t>IC Deployment Plan</t>
        </is>
      </c>
      <c r="E91" s="34" t="inlineStr">
        <is>
          <t>Do Not Deploy</t>
        </is>
      </c>
      <c r="F91" s="34" t="inlineStr">
        <is>
          <t>Do Not Deploy</t>
        </is>
      </c>
      <c r="G91" s="32" t="inlineStr">
        <is>
          <t>T1: Rs 200Cr @ CMP; T2: Rs 175Cr dip; T3: Rs 125Cr</t>
        </is>
      </c>
      <c r="H91" s="34" t="inlineStr">
        <is>
          <t>Do Not Deploy</t>
        </is>
      </c>
    </row>
    <row r="92">
      <c r="A92" s="29" t="n">
        <v>89</v>
      </c>
      <c r="B92" s="30" t="inlineStr">
        <is>
          <t>Category 4: Scenarios &amp; IC Deployment</t>
        </is>
      </c>
      <c r="C92" s="31" t="inlineStr">
        <is>
          <t>12-Month Catalysts</t>
        </is>
      </c>
      <c r="D92" s="30" t="inlineStr">
        <is>
          <t>IC Memo</t>
        </is>
      </c>
      <c r="E92" s="30" t="inlineStr">
        <is>
          <t>NSE IPO valuation benchmark</t>
        </is>
      </c>
      <c r="F92" s="30" t="inlineStr">
        <is>
          <t>NSDL listing comparison</t>
        </is>
      </c>
      <c r="G92" s="32" t="inlineStr">
        <is>
          <t>1) Google Cloud +170bps; 2) AA/CAMSPay; 3) SIPs</t>
        </is>
      </c>
      <c r="H92" s="30" t="inlineStr">
        <is>
          <t>International client onboarding in SE Asia</t>
        </is>
      </c>
    </row>
    <row r="93">
      <c r="A93" s="33" t="n">
        <v>90</v>
      </c>
      <c r="B93" s="34" t="inlineStr">
        <is>
          <t>Category 4: Scenarios &amp; IC Deployment</t>
        </is>
      </c>
      <c r="C93" s="35" t="inlineStr">
        <is>
          <t>Three Hard Exit / Thesis-Review Triggers</t>
        </is>
      </c>
      <c r="D93" s="34" t="inlineStr">
        <is>
          <t>IC Memo</t>
        </is>
      </c>
      <c r="E93" s="34" t="n">
        <v/>
      </c>
      <c r="F93" s="34" t="n">
        <v/>
      </c>
      <c r="G93" s="32" t="inlineStr">
        <is>
          <t>1) Top-10 AMC loss; 2) &gt;5% yield cut; 3) Non-MF &lt;15%</t>
        </is>
      </c>
      <c r="H93" s="34" t="n">
        <v/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CAMS LTD: INTEGRATED THREE-STATEMENT MODEL &amp; DCF VALUATION BRIDGE (FY26A–FY31E)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36" t="inlineStr">
        <is>
          <t>Scenario Selector (1 = Base Case, 2 = Mandatory Bear Shock, 3 = Bull Case):</t>
        </is>
      </c>
      <c r="B3" s="37" t="n">
        <v>1</v>
      </c>
    </row>
    <row r="4"/>
    <row r="5">
      <c r="A5" s="24" t="inlineStr">
        <is>
          <t>Line Item (₹ Crore unless stated)</t>
        </is>
      </c>
      <c r="B5" s="24" t="inlineStr">
        <is>
          <t>FY26A</t>
        </is>
      </c>
      <c r="C5" s="24" t="inlineStr">
        <is>
          <t>FY27E</t>
        </is>
      </c>
      <c r="D5" s="24" t="inlineStr">
        <is>
          <t>FY28E</t>
        </is>
      </c>
      <c r="E5" s="24" t="inlineStr">
        <is>
          <t>FY29E</t>
        </is>
      </c>
      <c r="F5" s="24" t="inlineStr">
        <is>
          <t>FY30E</t>
        </is>
      </c>
      <c r="G5" s="24" t="inlineStr">
        <is>
          <t>FY31E</t>
        </is>
      </c>
    </row>
    <row r="6">
      <c r="A6" s="5" t="inlineStr">
        <is>
          <t>Industry Mutual Fund AAUM (₹ Lakh Cr)</t>
        </is>
      </c>
      <c r="B6" s="38" t="n">
        <v>67.94</v>
      </c>
      <c r="C6" s="38">
        <f>B6*(1+CHOOSE($B$3,0.210,0.052,0.280))</f>
        <v/>
      </c>
      <c r="D6" s="38">
        <f>C6*1.2057</f>
        <v/>
      </c>
      <c r="E6" s="38">
        <f>D6*1.1987</f>
        <v/>
      </c>
      <c r="F6" s="38">
        <f>E6*1.1807</f>
        <v/>
      </c>
      <c r="G6" s="38">
        <f>F6*1.1699</f>
        <v/>
      </c>
    </row>
    <row r="7">
      <c r="A7" s="10" t="inlineStr">
        <is>
          <t>CAMS Domestic AAUM Market Share (%)</t>
        </is>
      </c>
      <c r="B7" s="21" t="n">
        <v>0.68</v>
      </c>
      <c r="C7" s="21">
        <f>B7</f>
        <v/>
      </c>
      <c r="D7" s="21">
        <f>C7</f>
        <v/>
      </c>
      <c r="E7" s="21">
        <f>D7</f>
        <v/>
      </c>
      <c r="F7" s="21">
        <f>E7</f>
        <v/>
      </c>
      <c r="G7" s="21">
        <f>F7</f>
        <v/>
      </c>
    </row>
    <row r="8">
      <c r="A8" s="4" t="inlineStr">
        <is>
          <t>CAMS Serviced AAUM (₹ Lakh Cr)</t>
        </is>
      </c>
      <c r="B8" s="39">
        <f>B6*B7</f>
        <v/>
      </c>
      <c r="C8" s="39">
        <f>C6*C7</f>
        <v/>
      </c>
      <c r="D8" s="39">
        <f>D6*D7</f>
        <v/>
      </c>
      <c r="E8" s="39">
        <f>E6*E7</f>
        <v/>
      </c>
      <c r="F8" s="39">
        <f>F6*F7</f>
        <v/>
      </c>
      <c r="G8" s="39">
        <f>G6*G7</f>
        <v/>
      </c>
    </row>
    <row r="9">
      <c r="A9" s="10" t="inlineStr">
        <is>
          <t>Blended MF RTA Yield (bps)</t>
        </is>
      </c>
      <c r="B9" s="40" t="n">
        <v>2.42</v>
      </c>
      <c r="C9" s="40">
        <f>B9*(1+CHOOSE($B$3,-0.0289,-0.0120,-0.0150))</f>
        <v/>
      </c>
      <c r="D9" s="40">
        <f>C9*(1-0.0298)</f>
        <v/>
      </c>
      <c r="E9" s="40">
        <f>D9*(1-0.0263)</f>
        <v/>
      </c>
      <c r="F9" s="40">
        <f>E9*(1-0.0270)</f>
        <v/>
      </c>
      <c r="G9" s="40">
        <f>F9*(1-0.0278)</f>
        <v/>
      </c>
    </row>
    <row r="10">
      <c r="A10" s="5" t="inlineStr">
        <is>
          <t>Mutual Fund Asset-Linked Revenue (₹ Cr)</t>
        </is>
      </c>
      <c r="B10" s="41">
        <f>ROUND(B8*B9*10,0)</f>
        <v/>
      </c>
      <c r="C10" s="41">
        <f>ROUND(C8*C9*10,0)</f>
        <v/>
      </c>
      <c r="D10" s="41">
        <f>ROUND(D8*D9*10,0)</f>
        <v/>
      </c>
      <c r="E10" s="41">
        <f>ROUND(E8*E9*10,0)</f>
        <v/>
      </c>
      <c r="F10" s="41">
        <f>ROUND(F8*F9*10,0)</f>
        <v/>
      </c>
      <c r="G10" s="41">
        <f>ROUND(G8*G9*10,0)</f>
        <v/>
      </c>
    </row>
    <row r="11">
      <c r="A11" s="10" t="inlineStr">
        <is>
          <t>Mutual Fund Non-Asset / Txn Revenue (₹ Cr)</t>
        </is>
      </c>
      <c r="B11" s="42" t="n">
        <v>162</v>
      </c>
      <c r="C11" s="42">
        <f>ROUND(B11*(1+CHOOSE($B$3,0.2037,-0.050,0.240)),0)</f>
        <v/>
      </c>
      <c r="D11" s="42" t="n">
        <v>238</v>
      </c>
      <c r="E11" s="42" t="n">
        <v>284</v>
      </c>
      <c r="F11" s="42" t="n">
        <v>337</v>
      </c>
      <c r="G11" s="42" t="n">
        <v>396</v>
      </c>
    </row>
    <row r="12">
      <c r="A12" s="5" t="inlineStr">
        <is>
          <t>Non-MF Revenue (AIF, CAMSPay, AA, NPS) (₹ Cr)</t>
        </is>
      </c>
      <c r="B12" s="41" t="n">
        <v>200</v>
      </c>
      <c r="C12" s="41">
        <f>ROUND(B12*(1+CHOOSE($B$3,0.280,0.140,0.360)),0)</f>
        <v/>
      </c>
      <c r="D12" s="41" t="n">
        <v>326</v>
      </c>
      <c r="E12" s="41" t="n">
        <v>412</v>
      </c>
      <c r="F12" s="41" t="n">
        <v>515</v>
      </c>
      <c r="G12" s="41" t="n">
        <v>638</v>
      </c>
    </row>
    <row r="13">
      <c r="A13" s="43" t="inlineStr">
        <is>
          <t>Total Operating Revenue (₹ Cr)</t>
        </is>
      </c>
      <c r="B13" s="44">
        <f>SUM(B10:B12)</f>
        <v/>
      </c>
      <c r="C13" s="44">
        <f>SUM(C10:C12)</f>
        <v/>
      </c>
      <c r="D13" s="44">
        <f>SUM(D10:D12)</f>
        <v/>
      </c>
      <c r="E13" s="44">
        <f>SUM(E10:E12)</f>
        <v/>
      </c>
      <c r="F13" s="44">
        <f>SUM(F10:F12)</f>
        <v/>
      </c>
      <c r="G13" s="44">
        <f>SUM(G10:G12)</f>
        <v/>
      </c>
    </row>
    <row r="14">
      <c r="A14" s="5" t="inlineStr">
        <is>
          <t>YoY Revenue Growth (%)</t>
        </is>
      </c>
      <c r="B14" s="19" t="n">
        <v>0.192</v>
      </c>
      <c r="C14" s="19">
        <f>(C13/B13)-1</f>
        <v/>
      </c>
      <c r="D14" s="19">
        <f>(D13/C13)-1</f>
        <v/>
      </c>
      <c r="E14" s="19">
        <f>(E13/D13)-1</f>
        <v/>
      </c>
      <c r="F14" s="19">
        <f>(F13/E13)-1</f>
        <v/>
      </c>
      <c r="G14" s="19">
        <f>(G13/F13)-1</f>
        <v/>
      </c>
    </row>
    <row r="15">
      <c r="A15" s="10" t="inlineStr">
        <is>
          <t>Employee Benefit Expenses (₹ Cr)</t>
        </is>
      </c>
      <c r="B15" s="42" t="n">
        <v>481</v>
      </c>
      <c r="C15" s="42" t="n">
        <v>556</v>
      </c>
      <c r="D15" s="42" t="n">
        <v>645</v>
      </c>
      <c r="E15" s="42" t="n">
        <v>747</v>
      </c>
      <c r="F15" s="42" t="n">
        <v>859</v>
      </c>
      <c r="G15" s="42" t="n">
        <v>980</v>
      </c>
    </row>
    <row r="16">
      <c r="A16" s="5" t="inlineStr">
        <is>
          <t>Operating, IT &amp; Cloud Expenses (₹ Cr)</t>
        </is>
      </c>
      <c r="B16" s="41" t="n">
        <v>311</v>
      </c>
      <c r="C16" s="41" t="n">
        <v>389</v>
      </c>
      <c r="D16" s="41" t="n">
        <v>443</v>
      </c>
      <c r="E16" s="41" t="n">
        <v>510</v>
      </c>
      <c r="F16" s="41" t="n">
        <v>588</v>
      </c>
      <c r="G16" s="41" t="n">
        <v>672</v>
      </c>
    </row>
    <row r="17">
      <c r="A17" s="43" t="inlineStr">
        <is>
          <t>EBITDA (₹ Cr)</t>
        </is>
      </c>
      <c r="B17" s="44">
        <f>B13-B15-B16</f>
        <v/>
      </c>
      <c r="C17" s="44">
        <f>C13-C15-C16</f>
        <v/>
      </c>
      <c r="D17" s="44">
        <f>D13-D15-D16</f>
        <v/>
      </c>
      <c r="E17" s="44">
        <f>E13-E15-E16</f>
        <v/>
      </c>
      <c r="F17" s="44">
        <f>F13-F15-F16</f>
        <v/>
      </c>
      <c r="G17" s="44">
        <f>G13-G15-G16</f>
        <v/>
      </c>
    </row>
    <row r="18">
      <c r="A18" s="5" t="inlineStr">
        <is>
          <t>EBITDA Margin (%)</t>
        </is>
      </c>
      <c r="B18" s="19">
        <f>B17/B13</f>
        <v/>
      </c>
      <c r="C18" s="19">
        <f>C17/C13</f>
        <v/>
      </c>
      <c r="D18" s="19">
        <f>D17/D13</f>
        <v/>
      </c>
      <c r="E18" s="19">
        <f>E17/E13</f>
        <v/>
      </c>
      <c r="F18" s="19">
        <f>F17/F13</f>
        <v/>
      </c>
      <c r="G18" s="19">
        <f>G17/G13</f>
        <v/>
      </c>
    </row>
    <row r="19">
      <c r="A19" s="10" t="inlineStr">
        <is>
          <t>Depreciation &amp; Amortisation (₹ Cr)</t>
        </is>
      </c>
      <c r="B19" s="42" t="n">
        <v>77</v>
      </c>
      <c r="C19" s="42" t="n">
        <v>88</v>
      </c>
      <c r="D19" s="42" t="n">
        <v>101</v>
      </c>
      <c r="E19" s="42" t="n">
        <v>115</v>
      </c>
      <c r="F19" s="42" t="n">
        <v>131</v>
      </c>
      <c r="G19" s="42" t="n">
        <v>148</v>
      </c>
    </row>
    <row r="20">
      <c r="A20" s="4" t="inlineStr">
        <is>
          <t>Operating Profit / EBIT (₹ Cr)</t>
        </is>
      </c>
      <c r="B20" s="45">
        <f>B17-B19</f>
        <v/>
      </c>
      <c r="C20" s="45">
        <f>C17-C19</f>
        <v/>
      </c>
      <c r="D20" s="45">
        <f>D17-D19</f>
        <v/>
      </c>
      <c r="E20" s="45">
        <f>E17-E19</f>
        <v/>
      </c>
      <c r="F20" s="45">
        <f>F17-F19</f>
        <v/>
      </c>
      <c r="G20" s="45">
        <f>G17-G19</f>
        <v/>
      </c>
    </row>
    <row r="21">
      <c r="A21" s="10" t="inlineStr">
        <is>
          <t>Other / Treasury Income (₹ Cr)</t>
        </is>
      </c>
      <c r="B21" s="42" t="n">
        <v>54</v>
      </c>
      <c r="C21" s="42" t="n">
        <v>62</v>
      </c>
      <c r="D21" s="42" t="n">
        <v>72</v>
      </c>
      <c r="E21" s="42" t="n">
        <v>85</v>
      </c>
      <c r="F21" s="42" t="n">
        <v>100</v>
      </c>
      <c r="G21" s="42" t="n">
        <v>118</v>
      </c>
    </row>
    <row r="22">
      <c r="A22" s="5" t="inlineStr">
        <is>
          <t>Finance Costs (Ind-AS 116 Lease Interest) (₹ Cr)</t>
        </is>
      </c>
      <c r="B22" s="41" t="n">
        <v>8</v>
      </c>
      <c r="C22" s="41" t="n">
        <v>8</v>
      </c>
      <c r="D22" s="41" t="n">
        <v>9</v>
      </c>
      <c r="E22" s="41" t="n">
        <v>9</v>
      </c>
      <c r="F22" s="41" t="n">
        <v>10</v>
      </c>
      <c r="G22" s="41" t="n">
        <v>10</v>
      </c>
    </row>
    <row r="23">
      <c r="A23" s="7" t="inlineStr">
        <is>
          <t>Profit Before Tax (PBT, ₹ Cr)</t>
        </is>
      </c>
      <c r="B23" s="46">
        <f>B20+B21-B22</f>
        <v/>
      </c>
      <c r="C23" s="46">
        <f>C20+C21-C22</f>
        <v/>
      </c>
      <c r="D23" s="46">
        <f>D20+D21-D22</f>
        <v/>
      </c>
      <c r="E23" s="46">
        <f>E20+E21-E22</f>
        <v/>
      </c>
      <c r="F23" s="46">
        <f>F20+F21-F22</f>
        <v/>
      </c>
      <c r="G23" s="46">
        <f>G20+G21-G22</f>
        <v/>
      </c>
    </row>
    <row r="24">
      <c r="A24" s="5" t="inlineStr">
        <is>
          <t>Income Tax Expense (@ 25.2%, ₹ Cr)</t>
        </is>
      </c>
      <c r="B24" s="41">
        <f>ROUND(B23*0.242,0)</f>
        <v/>
      </c>
      <c r="C24" s="41">
        <f>ROUND(C23*0.2519,0)</f>
        <v/>
      </c>
      <c r="D24" s="41">
        <f>ROUND(D23*0.2523,0)</f>
        <v/>
      </c>
      <c r="E24" s="41">
        <f>ROUND(E23*0.2521,0)</f>
        <v/>
      </c>
      <c r="F24" s="41">
        <f>ROUND(F23*0.2519,0)</f>
        <v/>
      </c>
      <c r="G24" s="41">
        <f>ROUND(G23*0.2521,0)</f>
        <v/>
      </c>
    </row>
    <row r="25">
      <c r="A25" s="43" t="inlineStr">
        <is>
          <t>Profit After Tax (PAT, ₹ Cr)</t>
        </is>
      </c>
      <c r="B25" s="44">
        <f>B23-B24</f>
        <v/>
      </c>
      <c r="C25" s="44">
        <f>C23-C24</f>
        <v/>
      </c>
      <c r="D25" s="44">
        <f>D23-D24</f>
        <v/>
      </c>
      <c r="E25" s="44">
        <f>E23-E24</f>
        <v/>
      </c>
      <c r="F25" s="44">
        <f>F23-F24</f>
        <v/>
      </c>
      <c r="G25" s="44">
        <f>G23-G24</f>
        <v/>
      </c>
    </row>
    <row r="26">
      <c r="A26" s="5" t="inlineStr">
        <is>
          <t>Diluted Shares Outstanding (Crore)</t>
        </is>
      </c>
      <c r="B26" s="38" t="n">
        <v>4.94</v>
      </c>
      <c r="C26" s="38" t="n">
        <v>4.94</v>
      </c>
      <c r="D26" s="38" t="n">
        <v>4.94</v>
      </c>
      <c r="E26" s="38" t="n">
        <v>4.94</v>
      </c>
      <c r="F26" s="38" t="n">
        <v>4.94</v>
      </c>
      <c r="G26" s="38" t="n">
        <v>4.94</v>
      </c>
    </row>
    <row r="27">
      <c r="A27" s="7" t="inlineStr">
        <is>
          <t>Diluted Earnings Per Share (EPS, ₹)</t>
        </is>
      </c>
      <c r="B27" s="47">
        <f>B25/B26</f>
        <v/>
      </c>
      <c r="C27" s="47">
        <f>C25/C26</f>
        <v/>
      </c>
      <c r="D27" s="47">
        <f>D25/D26</f>
        <v/>
      </c>
      <c r="E27" s="47">
        <f>E25/E26</f>
        <v/>
      </c>
      <c r="F27" s="47">
        <f>F25/F26</f>
        <v/>
      </c>
      <c r="G27" s="47">
        <f>G25/G26</f>
        <v/>
      </c>
    </row>
    <row r="28">
      <c r="A28" s="4" t="inlineStr">
        <is>
          <t>NOPAT [EBIT * (1 - Tax Rate)] (₹ Cr)</t>
        </is>
      </c>
      <c r="B28" s="45">
        <f>ROUND(B20*(1-0.252),0)</f>
        <v/>
      </c>
      <c r="C28" s="45">
        <f>ROUND(C20*(1-0.2514),0)</f>
        <v/>
      </c>
      <c r="D28" s="45">
        <f>ROUND(D20*(1-0.2522),0)</f>
        <v/>
      </c>
      <c r="E28" s="45">
        <f>ROUND(E20*(1-0.2522),0)</f>
        <v/>
      </c>
      <c r="F28" s="45">
        <f>ROUND(F20*(1-0.2517),0)</f>
        <v/>
      </c>
      <c r="G28" s="45">
        <f>ROUND(G20*(1-0.2522),0)</f>
        <v/>
      </c>
    </row>
    <row r="29">
      <c r="A29" s="10" t="inlineStr">
        <is>
          <t>(–) Change in Net Working Capital (NWC, ₹ Cr)</t>
        </is>
      </c>
      <c r="B29" s="42" t="n">
        <v>12</v>
      </c>
      <c r="C29" s="42" t="n">
        <v>10</v>
      </c>
      <c r="D29" s="42" t="n">
        <v>11</v>
      </c>
      <c r="E29" s="42" t="n">
        <v>13</v>
      </c>
      <c r="F29" s="42" t="n">
        <v>14</v>
      </c>
      <c r="G29" s="42" t="n">
        <v>15</v>
      </c>
    </row>
    <row r="30">
      <c r="A30" s="5" t="inlineStr">
        <is>
          <t>(–) Capital Expenditure (Capex, ₹ Cr)</t>
        </is>
      </c>
      <c r="B30" s="41" t="n">
        <v>54</v>
      </c>
      <c r="C30" s="41" t="n">
        <v>85</v>
      </c>
      <c r="D30" s="41" t="n">
        <v>96</v>
      </c>
      <c r="E30" s="41" t="n">
        <v>108</v>
      </c>
      <c r="F30" s="41" t="n">
        <v>122</v>
      </c>
      <c r="G30" s="41" t="n">
        <v>135</v>
      </c>
    </row>
    <row r="31">
      <c r="A31" s="43" t="inlineStr">
        <is>
          <t>Free Cash Flow to Firm (FCFF, ₹ Cr)</t>
        </is>
      </c>
      <c r="B31" s="44">
        <f>B28+B19-B29-B30</f>
        <v/>
      </c>
      <c r="C31" s="44">
        <f>C28+C19-C29-C30</f>
        <v/>
      </c>
      <c r="D31" s="44">
        <f>D28+D19-D29-D30</f>
        <v/>
      </c>
      <c r="E31" s="44">
        <f>E28+E19-E29-E30</f>
        <v/>
      </c>
      <c r="F31" s="44">
        <f>F28+F19-F29-F30</f>
        <v/>
      </c>
      <c r="G31" s="44">
        <f>G28+G19-G29-G30</f>
        <v/>
      </c>
    </row>
    <row r="32">
      <c r="A32" s="5" t="inlineStr">
        <is>
          <t>BS Check: Net Fixed Assets &amp; Intangibles (₹ Cr)</t>
        </is>
      </c>
      <c r="B32" s="41" t="n">
        <v>340</v>
      </c>
      <c r="C32" s="41" t="n">
        <v>337</v>
      </c>
      <c r="D32" s="41" t="n">
        <v>332</v>
      </c>
      <c r="E32" s="41" t="n">
        <v>325</v>
      </c>
      <c r="F32" s="41" t="n">
        <v>316</v>
      </c>
      <c r="G32" s="41" t="n">
        <v>303</v>
      </c>
    </row>
    <row r="33">
      <c r="A33" s="10" t="inlineStr">
        <is>
          <t>BS Check: Net Working Capital Ex-Cash (₹ Cr)</t>
        </is>
      </c>
      <c r="B33" s="42" t="n">
        <v>48</v>
      </c>
      <c r="C33" s="42">
        <f>B33+C29</f>
        <v/>
      </c>
      <c r="D33" s="42">
        <f>C33+D29</f>
        <v/>
      </c>
      <c r="E33" s="42">
        <f>D33+E29</f>
        <v/>
      </c>
      <c r="F33" s="42">
        <f>E33+F29</f>
        <v/>
      </c>
      <c r="G33" s="42">
        <f>F33+G29</f>
        <v/>
      </c>
    </row>
    <row r="34">
      <c r="A34" s="5" t="inlineStr">
        <is>
          <t>BS Check: Cash &amp; Marketable Securities (₹ Cr)</t>
        </is>
      </c>
      <c r="B34" s="41" t="n">
        <v>742</v>
      </c>
      <c r="C34" s="41" t="n">
        <v>925</v>
      </c>
      <c r="D34" s="41" t="n">
        <v>1158</v>
      </c>
      <c r="E34" s="41" t="n">
        <v>1445</v>
      </c>
      <c r="F34" s="41" t="n">
        <v>1796</v>
      </c>
      <c r="G34" s="41" t="n">
        <v>2218</v>
      </c>
    </row>
    <row r="35">
      <c r="A35" s="7" t="inlineStr">
        <is>
          <t>BS Check: Shareholders' Equity / Net Worth (₹ Cr)</t>
        </is>
      </c>
      <c r="B35" s="46" t="n">
        <v>1048</v>
      </c>
      <c r="C35" s="46" t="n">
        <v>1238</v>
      </c>
      <c r="D35" s="46" t="n">
        <v>1477</v>
      </c>
      <c r="E35" s="46" t="n">
        <v>1770</v>
      </c>
      <c r="F35" s="46" t="n">
        <v>2126</v>
      </c>
      <c r="G35" s="46" t="n">
        <v>2550</v>
      </c>
    </row>
    <row r="36"/>
    <row r="37">
      <c r="A37" s="2" t="inlineStr">
        <is>
          <t>12-MONTH FORWARD DCF &amp; VALUATION BRIDGE (ENTERPRISE TO EQUITY VALUE)</t>
        </is>
      </c>
    </row>
    <row r="38">
      <c r="A38" s="7" t="inlineStr">
        <is>
          <t>WACC / Cost of Equity (Ke)</t>
        </is>
      </c>
      <c r="B38" s="48" t="n">
        <v>0.125</v>
      </c>
      <c r="C38" s="10" t="inlineStr">
        <is>
          <t>CAPM: Rf 6.8% + Beta 0.95 * ERP 6.0%</t>
        </is>
      </c>
    </row>
    <row r="39">
      <c r="A39" s="7" t="inlineStr">
        <is>
          <t>Terminal Growth Rate (g)</t>
        </is>
      </c>
      <c r="B39" s="48" t="n">
        <v>0.065</v>
      </c>
      <c r="C39" s="10" t="inlineStr">
        <is>
          <t>Long-run Indian nominal GDP &amp; MF penetration proxy</t>
        </is>
      </c>
    </row>
    <row r="40">
      <c r="A40" s="7" t="inlineStr">
        <is>
          <t>Implied 12-Month Forward Enterprise Value (EV, ₹ Cr)</t>
        </is>
      </c>
      <c r="B40" s="49" t="n">
        <v>26133</v>
      </c>
      <c r="C40" s="10" t="inlineStr">
        <is>
          <t>2-Stage DCF / 37.0x FY28E P/E Institutional Blend</t>
        </is>
      </c>
    </row>
    <row r="41">
      <c r="A41" s="7" t="inlineStr">
        <is>
          <t>(+) FY27E Unencumbered Cash &amp; Liquid Investments (₹ Cr)</t>
        </is>
      </c>
      <c r="B41" s="49">
        <f>C34</f>
        <v/>
      </c>
      <c r="C41" s="10" t="inlineStr">
        <is>
          <t>Excludes client &amp; dividend bank balances</t>
        </is>
      </c>
    </row>
    <row r="42">
      <c r="A42" s="7" t="inlineStr">
        <is>
          <t>(–) FY27E Total Debt &amp; Lease Liabilities (₹ Cr)</t>
        </is>
      </c>
      <c r="B42" s="49" t="n">
        <v>82</v>
      </c>
      <c r="C42" s="10" t="inlineStr">
        <is>
          <t>Ind-AS 116 lease obligations only (Zero borrowings)</t>
        </is>
      </c>
    </row>
    <row r="43">
      <c r="A43" s="7" t="inlineStr">
        <is>
          <t>Implied 12-Month Equity Value (₹ Cr)</t>
        </is>
      </c>
      <c r="B43" s="49">
        <f>B40+B41-B42</f>
        <v/>
      </c>
      <c r="C43" s="10" t="inlineStr">
        <is>
          <t>Divided by 4.94 Cr diluted shares</t>
        </is>
      </c>
    </row>
    <row r="44">
      <c r="A44" s="7" t="inlineStr">
        <is>
          <t>12-Month Target Price Per Share (₹)</t>
        </is>
      </c>
      <c r="B44" s="9">
        <f>ROUND(B43/C26,0)</f>
        <v/>
      </c>
      <c r="C44" s="10" t="inlineStr">
        <is>
          <t>Implies +23.5% upside from CMP of ₹4,420</t>
        </is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7" customWidth="1" min="4" max="4"/>
    <col width="14" customWidth="1" min="5" max="5"/>
    <col width="42" customWidth="1" min="6" max="6"/>
  </cols>
  <sheetData>
    <row r="1">
      <c r="A1" s="1" t="inlineStr">
        <is>
          <t>RELATIVE VALUATION, FORENSIC CASH CONVERSION &amp; LIQUIDITY MODEL (ALL 4 CANDIDATES)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>
      <c r="A3" t="inlineStr">
        <is>
          <t>Valuation &amp; Due Diligence Metric</t>
        </is>
      </c>
      <c r="B3" t="inlineStr">
        <is>
          <t>BSE Ltd</t>
        </is>
      </c>
      <c r="C3" t="inlineStr">
        <is>
          <t>CDSL</t>
        </is>
      </c>
      <c r="D3" t="inlineStr">
        <is>
          <t>CAMS (Winner)</t>
        </is>
      </c>
      <c r="E3" t="inlineStr">
        <is>
          <t>KFin Tech</t>
        </is>
      </c>
      <c r="F3" t="inlineStr">
        <is>
          <t>Benchmark / Forensic Flag</t>
        </is>
      </c>
    </row>
    <row r="4">
      <c r="A4" s="24" t="n"/>
      <c r="B4" s="24" t="n"/>
      <c r="C4" s="24" t="n"/>
      <c r="D4" s="24" t="n"/>
      <c r="E4" s="24" t="n"/>
      <c r="F4" s="24" t="n"/>
    </row>
    <row r="5">
      <c r="A5" s="10" t="inlineStr">
        <is>
          <t>Current Market Price (CMP, ₹)</t>
        </is>
      </c>
      <c r="B5" s="8" t="n">
        <v>4650</v>
      </c>
      <c r="C5" s="8" t="n">
        <v>1580</v>
      </c>
      <c r="D5" s="50" t="n">
        <v>4420</v>
      </c>
      <c r="E5" s="8" t="n">
        <v>1140</v>
      </c>
      <c r="F5" s="10" t="inlineStr">
        <is>
          <t>Reference Price Date: Oct 23, 2026</t>
        </is>
      </c>
    </row>
    <row r="6">
      <c r="A6" s="10" t="inlineStr">
        <is>
          <t>Diluted Shares Outstanding (Cr)</t>
        </is>
      </c>
      <c r="B6" s="40" t="n">
        <v>13.54</v>
      </c>
      <c r="C6" s="40" t="n">
        <v>20.9</v>
      </c>
      <c r="D6" s="51" t="n">
        <v>4.94</v>
      </c>
      <c r="E6" s="40" t="n">
        <v>17.25</v>
      </c>
      <c r="F6" s="10" t="inlineStr">
        <is>
          <t>From latest BSE/NSE shareholding filings</t>
        </is>
      </c>
    </row>
    <row r="7">
      <c r="A7" s="52" t="inlineStr">
        <is>
          <t>Market Capitalisation (₹ Cr)</t>
        </is>
      </c>
      <c r="B7" s="53">
        <f>B5*B6</f>
        <v/>
      </c>
      <c r="C7" s="53">
        <f>C5*C6</f>
        <v/>
      </c>
      <c r="D7" s="9">
        <f>D5*D6</f>
        <v/>
      </c>
      <c r="E7" s="53">
        <f>E5*E6</f>
        <v/>
      </c>
      <c r="F7" s="52" t="inlineStr">
        <is>
          <t>Calculated dynamically (CMP * Diluted Shares)</t>
        </is>
      </c>
    </row>
    <row r="8">
      <c r="A8" s="10" t="inlineStr">
        <is>
          <t>Unencumbered Cash &amp; Investments (₹ Cr)</t>
        </is>
      </c>
      <c r="B8" s="8" t="n">
        <v>3150</v>
      </c>
      <c r="C8" s="8" t="n">
        <v>1420</v>
      </c>
      <c r="D8" s="50" t="n">
        <v>742</v>
      </c>
      <c r="E8" s="8" t="n">
        <v>518</v>
      </c>
      <c r="F8" s="10" t="inlineStr">
        <is>
          <t>Excludes SGF &amp; client margin money</t>
        </is>
      </c>
    </row>
    <row r="9">
      <c r="A9" s="10" t="inlineStr">
        <is>
          <t>Total Debt &amp; Lease Liabilities (₹ Cr)</t>
        </is>
      </c>
      <c r="B9" s="8" t="n">
        <v>0</v>
      </c>
      <c r="C9" s="8" t="n">
        <v>4</v>
      </c>
      <c r="D9" s="50" t="n">
        <v>82</v>
      </c>
      <c r="E9" s="8" t="n">
        <v>58</v>
      </c>
      <c r="F9" s="10" t="inlineStr">
        <is>
          <t>All 4 candidates are virtually debt-free</t>
        </is>
      </c>
    </row>
    <row r="10">
      <c r="A10" s="52" t="inlineStr">
        <is>
          <t>Enterprise Value (EV, ₹ Cr)</t>
        </is>
      </c>
      <c r="B10" s="53">
        <f>B7-B8+B9</f>
        <v/>
      </c>
      <c r="C10" s="53">
        <f>C7-C8+C9</f>
        <v/>
      </c>
      <c r="D10" s="9">
        <f>D7-D8+D9</f>
        <v/>
      </c>
      <c r="E10" s="53">
        <f>E7-E8+E9</f>
        <v/>
      </c>
      <c r="F10" s="52" t="inlineStr">
        <is>
          <t>Market Cap - Cash + Debt/Leases</t>
        </is>
      </c>
    </row>
    <row r="11">
      <c r="A11" s="10" t="inlineStr">
        <is>
          <t>FY27E EBITDA (₹ Cr)</t>
        </is>
      </c>
      <c r="B11" s="8" t="n">
        <v>1734</v>
      </c>
      <c r="C11" s="8" t="n">
        <v>913</v>
      </c>
      <c r="D11" s="50">
        <f>'3_CAMS_3Statement_DCF'!C17</f>
        <v/>
      </c>
      <c r="E11" s="8" t="n">
        <v>623</v>
      </c>
      <c r="F11" s="10" t="inlineStr">
        <is>
          <t>CAMS linked to 3-Statement tab</t>
        </is>
      </c>
    </row>
    <row r="12">
      <c r="A12" s="10" t="inlineStr">
        <is>
          <t>FY28E EBITDA (₹ Cr)</t>
        </is>
      </c>
      <c r="B12" s="8" t="n">
        <v>2027</v>
      </c>
      <c r="C12" s="8" t="n">
        <v>1079</v>
      </c>
      <c r="D12" s="50">
        <f>'3_CAMS_3Statement_DCF'!D17</f>
        <v/>
      </c>
      <c r="E12" s="8" t="n">
        <v>756</v>
      </c>
      <c r="F12" s="10" t="inlineStr">
        <is>
          <t>CAMS linked to 3-Statement tab</t>
        </is>
      </c>
    </row>
    <row r="13">
      <c r="A13" s="10" t="inlineStr">
        <is>
          <t>FY27E Profit After Tax (PAT, ₹ Cr)</t>
        </is>
      </c>
      <c r="B13" s="8" t="n">
        <v>1437</v>
      </c>
      <c r="C13" s="8" t="n">
        <v>761</v>
      </c>
      <c r="D13" s="50">
        <f>'3_CAMS_3Statement_DCF'!C25</f>
        <v/>
      </c>
      <c r="E13" s="8" t="n">
        <v>442</v>
      </c>
      <c r="F13" s="10" t="inlineStr">
        <is>
          <t>CAMS linked to 3-Statement tab</t>
        </is>
      </c>
    </row>
    <row r="14">
      <c r="A14" s="10" t="inlineStr">
        <is>
          <t>FY28E Profit After Tax (PAT, ₹ Cr)</t>
        </is>
      </c>
      <c r="B14" s="8" t="n">
        <v>1679</v>
      </c>
      <c r="C14" s="8" t="n">
        <v>897</v>
      </c>
      <c r="D14" s="50">
        <f>'3_CAMS_3Statement_DCF'!D25</f>
        <v/>
      </c>
      <c r="E14" s="8" t="n">
        <v>537</v>
      </c>
      <c r="F14" s="10" t="inlineStr">
        <is>
          <t>CAMS linked to 3-Statement tab</t>
        </is>
      </c>
    </row>
    <row r="15">
      <c r="A15" s="52" t="inlineStr">
        <is>
          <t>FY27E P/E Multiple (x)</t>
        </is>
      </c>
      <c r="B15" s="54">
        <f>B7/B13</f>
        <v/>
      </c>
      <c r="C15" s="54">
        <f>C7/C13</f>
        <v/>
      </c>
      <c r="D15" s="17">
        <f>D7/D13</f>
        <v/>
      </c>
      <c r="E15" s="54">
        <f>E7/E13</f>
        <v/>
      </c>
      <c r="F15" s="52" t="inlineStr">
        <is>
          <t>CAMS trades at 36.5x vs 43.4x-44.5x for peers</t>
        </is>
      </c>
    </row>
    <row r="16">
      <c r="A16" s="10" t="inlineStr">
        <is>
          <t>FY28E P/E Multiple (x)</t>
        </is>
      </c>
      <c r="B16" s="18">
        <f>B7/B14</f>
        <v/>
      </c>
      <c r="C16" s="18">
        <f>C7/C14</f>
        <v/>
      </c>
      <c r="D16" s="55">
        <f>D7/D14</f>
        <v/>
      </c>
      <c r="E16" s="18">
        <f>E7/E14</f>
        <v/>
      </c>
      <c r="F16" s="10" t="inlineStr">
        <is>
          <t>CAMS drops to 30.2x on FY28E earnings</t>
        </is>
      </c>
    </row>
    <row r="17">
      <c r="A17" s="52" t="inlineStr">
        <is>
          <t>FY27E EV/EBITDA Multiple (x)</t>
        </is>
      </c>
      <c r="B17" s="54">
        <f>B10/B11</f>
        <v/>
      </c>
      <c r="C17" s="54">
        <f>C10/C11</f>
        <v/>
      </c>
      <c r="D17" s="17">
        <f>D10/D11</f>
        <v/>
      </c>
      <c r="E17" s="54">
        <f>E10/E11</f>
        <v/>
      </c>
      <c r="F17" s="52" t="inlineStr">
        <is>
          <t>CAMS at 25.8x is 25% cheaper than BSE/CDSL</t>
        </is>
      </c>
    </row>
    <row r="18">
      <c r="A18" s="10" t="inlineStr">
        <is>
          <t>FY28E EV/EBITDA Multiple (x)</t>
        </is>
      </c>
      <c r="B18" s="18">
        <f>B10/B12</f>
        <v/>
      </c>
      <c r="C18" s="18">
        <f>C10/C12</f>
        <v/>
      </c>
      <c r="D18" s="55">
        <f>D10/D12</f>
        <v/>
      </c>
      <c r="E18" s="18">
        <f>E10/E12</f>
        <v/>
      </c>
      <c r="F18" s="10" t="inlineStr">
        <is>
          <t>Strong operating leverage across RTAs</t>
        </is>
      </c>
    </row>
    <row r="19">
      <c r="A19" s="10" t="inlineStr">
        <is>
          <t>FY26A Reported EBITDA (₹ Cr)</t>
        </is>
      </c>
      <c r="B19" s="8" t="n">
        <v>1490</v>
      </c>
      <c r="C19" s="8" t="n">
        <v>774</v>
      </c>
      <c r="D19" s="50" t="n">
        <v>688</v>
      </c>
      <c r="E19" s="8" t="n">
        <v>516</v>
      </c>
      <c r="F19" s="10" t="inlineStr">
        <is>
          <t>Base year operating profit before D&amp;A</t>
        </is>
      </c>
    </row>
    <row r="20">
      <c r="A20" s="10" t="inlineStr">
        <is>
          <t>FY26A Post-Tax Operating Cash Flow (OCF, ₹ Cr)</t>
        </is>
      </c>
      <c r="B20" s="8" t="n">
        <v>1033</v>
      </c>
      <c r="C20" s="8" t="n">
        <v>574</v>
      </c>
      <c r="D20" s="50" t="n">
        <v>522</v>
      </c>
      <c r="E20" s="8" t="n">
        <v>336</v>
      </c>
      <c r="F20" s="10" t="inlineStr">
        <is>
          <t>KFin dragged by 54-day DSO receivable build</t>
        </is>
      </c>
    </row>
    <row r="21">
      <c r="A21" s="10" t="inlineStr">
        <is>
          <t>FY26A Capitalised Software Intangibles (₹ Cr)</t>
        </is>
      </c>
      <c r="B21" s="8" t="n">
        <v>0</v>
      </c>
      <c r="C21" s="8" t="n">
        <v>0</v>
      </c>
      <c r="D21" s="50" t="n">
        <v>8</v>
      </c>
      <c r="E21" s="8" t="n">
        <v>41</v>
      </c>
      <c r="F21" s="10" t="inlineStr">
        <is>
          <t>FLAG: KFin capitalises ₹41 Cr (~3.5% of rev)</t>
        </is>
      </c>
    </row>
    <row r="22">
      <c r="A22" s="10" t="inlineStr">
        <is>
          <t>FY26A Free Cash Flow (FCF, ₹ Cr)</t>
        </is>
      </c>
      <c r="B22" s="8" t="n">
        <v>905</v>
      </c>
      <c r="C22" s="8" t="n">
        <v>522</v>
      </c>
      <c r="D22" s="50" t="n">
        <v>468</v>
      </c>
      <c r="E22" s="8" t="n">
        <v>257</v>
      </c>
      <c r="F22" s="10" t="inlineStr">
        <is>
          <t>OCF less tangible &amp; intangible capex</t>
        </is>
      </c>
    </row>
    <row r="23">
      <c r="A23" s="52" t="inlineStr">
        <is>
          <t>FCF / PAT Conversion Ratio (%)</t>
        </is>
      </c>
      <c r="B23" s="56">
        <f>B22/1240</f>
        <v/>
      </c>
      <c r="C23" s="56">
        <f>C22/642</f>
        <v/>
      </c>
      <c r="D23" s="20">
        <f>D22/498</f>
        <v/>
      </c>
      <c r="E23" s="56">
        <f>E22/362</f>
        <v/>
      </c>
      <c r="F23" s="52" t="inlineStr">
        <is>
          <t>CAMS converts 94.0% of PAT to FCF vs 71% at KFin</t>
        </is>
      </c>
    </row>
    <row r="24">
      <c r="A24" s="10" t="inlineStr">
        <is>
          <t>Days Sales Outstanding (DSO, Days)</t>
        </is>
      </c>
      <c r="B24" s="57" t="n">
        <v>24</v>
      </c>
      <c r="C24" s="57" t="n">
        <v>31</v>
      </c>
      <c r="D24" s="58" t="n">
        <v>21</v>
      </c>
      <c r="E24" s="57" t="n">
        <v>54</v>
      </c>
      <c r="F24" s="10" t="inlineStr">
        <is>
          <t>CAMS auto-debits AMC fees monthly</t>
        </is>
      </c>
    </row>
    <row r="25">
      <c r="A25" s="10" t="inlineStr">
        <is>
          <t>3-Month Average Daily Volume Traded (ADV, ₹ Cr)</t>
        </is>
      </c>
      <c r="B25" s="8" t="n">
        <v>620</v>
      </c>
      <c r="C25" s="8" t="n">
        <v>310</v>
      </c>
      <c r="D25" s="50" t="n">
        <v>165</v>
      </c>
      <c r="E25" s="8" t="n">
        <v>95</v>
      </c>
      <c r="F25" s="10" t="inlineStr">
        <is>
          <t>Combined NSE + BSE liquidity</t>
        </is>
      </c>
    </row>
    <row r="26">
      <c r="A26" s="10" t="inlineStr">
        <is>
          <t>Max Daily Buy @ 15% Participation Rate (₹ Cr)</t>
        </is>
      </c>
      <c r="B26" s="59">
        <f>B25*0.15</f>
        <v/>
      </c>
      <c r="C26" s="59">
        <f>C25*0.15</f>
        <v/>
      </c>
      <c r="D26" s="60">
        <f>D25*0.15</f>
        <v/>
      </c>
      <c r="E26" s="59">
        <f>E25*0.15</f>
        <v/>
      </c>
      <c r="F26" s="10" t="inlineStr">
        <is>
          <t>Institutional execution cap to avoid slippage</t>
        </is>
      </c>
    </row>
    <row r="27">
      <c r="A27" s="52" t="inlineStr">
        <is>
          <t>Trading Days Required to Deploy ₹500 Cr</t>
        </is>
      </c>
      <c r="B27" s="61">
        <f>500/B26</f>
        <v/>
      </c>
      <c r="C27" s="61">
        <f>500/C26</f>
        <v/>
      </c>
      <c r="D27" s="23">
        <f>500/D26</f>
        <v/>
      </c>
      <c r="E27" s="61">
        <f>500/E26</f>
        <v/>
      </c>
      <c r="F27" s="52" t="inlineStr">
        <is>
          <t>CAMS takes 20.2 days (~4 weeks) vs 35.1d for KFin</t>
        </is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1" customWidth="1" min="4" max="4"/>
    <col width="14" customWidth="1" min="5" max="5"/>
    <col width="42" customWidth="1" min="6" max="6"/>
  </cols>
  <sheetData>
    <row r="1">
      <c r="A1" s="1" t="inlineStr">
        <is>
          <t>MANDATORY BEAR SHOCK (-30% DERIVATIVES &amp; -20% EQUITY DRAWDOWN) &amp; 2-WAY SENSITIVITIES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/>
    <row r="4">
      <c r="A4" s="2" t="inlineStr">
        <is>
          <t>PART A: MANDATORY BEAR SHOCK IMPACT ACROSS ALL 4 CANDIDATES (FY27E)</t>
        </is>
      </c>
    </row>
    <row r="5">
      <c r="A5" s="24" t="inlineStr">
        <is>
          <t>Stress Test Metric</t>
        </is>
      </c>
      <c r="B5" s="24" t="inlineStr">
        <is>
          <t>BSE Ltd</t>
        </is>
      </c>
      <c r="C5" s="24" t="inlineStr">
        <is>
          <t>CDSL</t>
        </is>
      </c>
      <c r="D5" s="24" t="inlineStr">
        <is>
          <t>CAMS (Winner)</t>
        </is>
      </c>
      <c r="E5" s="24" t="inlineStr">
        <is>
          <t>KFin Tech</t>
        </is>
      </c>
      <c r="F5" s="24" t="inlineStr">
        <is>
          <t>Causal Transmission Mechanism</t>
        </is>
      </c>
    </row>
    <row r="6">
      <c r="A6" s="10" t="inlineStr">
        <is>
          <t>Shock 1: -30% Derivatives Turnover Rev Hit (%)</t>
        </is>
      </c>
      <c r="B6" s="12" t="n">
        <v>-0.185</v>
      </c>
      <c r="C6" s="12" t="n">
        <v>-0.015</v>
      </c>
      <c r="D6" s="62" t="n">
        <v>0</v>
      </c>
      <c r="E6" s="12" t="n">
        <v>0</v>
      </c>
      <c r="F6" s="10" t="inlineStr">
        <is>
          <t>CAMS &amp; KFin have 0% derivatives exposure</t>
        </is>
      </c>
    </row>
    <row r="7">
      <c r="A7" s="10" t="inlineStr">
        <is>
          <t>Shock 2: -20% Equity Drawdown Rev Hit (%)</t>
        </is>
      </c>
      <c r="B7" s="12" t="n">
        <v>-0.08</v>
      </c>
      <c r="C7" s="12" t="n">
        <v>-0.165</v>
      </c>
      <c r="D7" s="62" t="n">
        <v>-0.098</v>
      </c>
      <c r="E7" s="12" t="n">
        <v>-0.082</v>
      </c>
      <c r="F7" s="10" t="inlineStr">
        <is>
          <t>CAMS cushioned by ongoing SIPs &amp; telescopic floor</t>
        </is>
      </c>
    </row>
    <row r="8">
      <c r="A8" s="7" t="inlineStr">
        <is>
          <t>Combined Bear Shock FY27E Revenue Hit (%)</t>
        </is>
      </c>
      <c r="B8" s="63">
        <f>B6+B7</f>
        <v/>
      </c>
      <c r="C8" s="63">
        <f>C6+C7</f>
        <v/>
      </c>
      <c r="D8" s="13">
        <f>D6+D7</f>
        <v/>
      </c>
      <c r="E8" s="63">
        <f>E6+E7</f>
        <v/>
      </c>
      <c r="F8" s="7" t="inlineStr">
        <is>
          <t>BSE loses 26.5% revenue; CAMS loses 9.8%</t>
        </is>
      </c>
    </row>
    <row r="9">
      <c r="A9" s="10" t="inlineStr">
        <is>
          <t>Bear Shock EBITDA Margin Compression (bps)</t>
        </is>
      </c>
      <c r="B9" s="64" t="n">
        <v>-920</v>
      </c>
      <c r="C9" s="64" t="n">
        <v>-640</v>
      </c>
      <c r="D9" s="65" t="n">
        <v>-340</v>
      </c>
      <c r="E9" s="64" t="n">
        <v>-360</v>
      </c>
      <c r="F9" s="10" t="inlineStr">
        <is>
          <t>High fixed clearing/IT costs hurt BSE</t>
        </is>
      </c>
    </row>
    <row r="10">
      <c r="A10" s="7" t="inlineStr">
        <is>
          <t>Combined Bear Shock FY27E EPS Impact (%)</t>
        </is>
      </c>
      <c r="B10" s="63" t="n">
        <v>-0.384</v>
      </c>
      <c r="C10" s="63" t="n">
        <v>-0.268</v>
      </c>
      <c r="D10" s="13" t="n">
        <v>-0.156</v>
      </c>
      <c r="E10" s="63" t="n">
        <v>-0.152</v>
      </c>
      <c r="F10" s="7" t="inlineStr">
        <is>
          <t>Operating leverage amplifies BSE/CDSL drop</t>
        </is>
      </c>
    </row>
    <row r="11">
      <c r="A11" s="10" t="inlineStr">
        <is>
          <t>De-rated Bear Case P/E Multiple (x)</t>
        </is>
      </c>
      <c r="B11" s="18" t="n">
        <v>26</v>
      </c>
      <c r="C11" s="18" t="n">
        <v>28</v>
      </c>
      <c r="D11" s="55" t="n">
        <v>31.5</v>
      </c>
      <c r="E11" s="18" t="n">
        <v>29</v>
      </c>
      <c r="F11" s="10" t="inlineStr">
        <is>
          <t>CAMS supported by 68% payout (~2% yield floor)</t>
        </is>
      </c>
    </row>
    <row r="12">
      <c r="A12" s="7" t="inlineStr">
        <is>
          <t>Bear Case 12-Month Target Price (₹)</t>
        </is>
      </c>
      <c r="B12" s="49" t="n">
        <v>2760</v>
      </c>
      <c r="C12" s="49" t="n">
        <v>1075</v>
      </c>
      <c r="D12" s="9" t="n">
        <v>3910</v>
      </c>
      <c r="E12" s="49" t="n">
        <v>830</v>
      </c>
      <c r="F12" s="7" t="inlineStr">
        <is>
          <t>Model output under combined stress</t>
        </is>
      </c>
    </row>
    <row r="13">
      <c r="A13" s="7" t="inlineStr">
        <is>
          <t>Implied Downside from CMP (%)</t>
        </is>
      </c>
      <c r="B13" s="63">
        <f>(B12/4650)-1</f>
        <v/>
      </c>
      <c r="C13" s="63">
        <f>(C12/1580)-1</f>
        <v/>
      </c>
      <c r="D13" s="13">
        <f>(D12/4420)-1</f>
        <v/>
      </c>
      <c r="E13" s="63">
        <f>(E12/1140)-1</f>
        <v/>
      </c>
      <c r="F13" s="7" t="inlineStr">
        <is>
          <t>CAMS is the only candidate with &lt;-12% downside</t>
        </is>
      </c>
    </row>
    <row r="14"/>
    <row r="15"/>
    <row r="16">
      <c r="A16" s="2" t="inlineStr">
        <is>
          <t>PART B: TWO-WAY SENSITIVITY 1 — CAMS TARGET PRICE (₹) TO WACC VS. TERMINAL GROWTH (g)</t>
        </is>
      </c>
    </row>
    <row r="17">
      <c r="A17" s="24" t="inlineStr">
        <is>
          <t>WACC / Terminal Growth (g)</t>
        </is>
      </c>
      <c r="B17" s="24" t="inlineStr">
        <is>
          <t>5.5%</t>
        </is>
      </c>
      <c r="C17" s="24" t="inlineStr">
        <is>
          <t>6.0%</t>
        </is>
      </c>
      <c r="D17" s="24" t="inlineStr">
        <is>
          <t>6.5% (Base)</t>
        </is>
      </c>
      <c r="E17" s="24" t="inlineStr">
        <is>
          <t>7.0%</t>
        </is>
      </c>
      <c r="F17" s="24" t="inlineStr">
        <is>
          <t>7.5%</t>
        </is>
      </c>
    </row>
    <row r="18">
      <c r="A18" s="66" t="inlineStr">
        <is>
          <t>11.5%</t>
        </is>
      </c>
      <c r="B18" s="67" t="n">
        <v>5610</v>
      </c>
      <c r="C18" s="67" t="n">
        <v>5920</v>
      </c>
      <c r="D18" s="67" t="n">
        <v>6290</v>
      </c>
      <c r="E18" s="67" t="n">
        <v>6745</v>
      </c>
      <c r="F18" s="67" t="n">
        <v>7310</v>
      </c>
    </row>
    <row r="19">
      <c r="A19" s="66" t="inlineStr">
        <is>
          <t>12.0%</t>
        </is>
      </c>
      <c r="B19" s="67" t="n">
        <v>5240</v>
      </c>
      <c r="C19" s="67" t="n">
        <v>5500</v>
      </c>
      <c r="D19" s="67" t="n">
        <v>5815</v>
      </c>
      <c r="E19" s="67" t="n">
        <v>6190</v>
      </c>
      <c r="F19" s="67" t="n">
        <v>6650</v>
      </c>
    </row>
    <row r="20">
      <c r="A20" s="66" t="inlineStr">
        <is>
          <t>12.5% (Base)</t>
        </is>
      </c>
      <c r="B20" s="67" t="n">
        <v>4920</v>
      </c>
      <c r="C20" s="67" t="n">
        <v>5140</v>
      </c>
      <c r="D20" s="68" t="n">
        <v>5460</v>
      </c>
      <c r="E20" s="67" t="n">
        <v>5730</v>
      </c>
      <c r="F20" s="67" t="n">
        <v>6110</v>
      </c>
    </row>
    <row r="21">
      <c r="A21" s="66" t="inlineStr">
        <is>
          <t>13.0%</t>
        </is>
      </c>
      <c r="B21" s="67" t="n">
        <v>4640</v>
      </c>
      <c r="C21" s="67" t="n">
        <v>4830</v>
      </c>
      <c r="D21" s="67" t="n">
        <v>5060</v>
      </c>
      <c r="E21" s="67" t="n">
        <v>5335</v>
      </c>
      <c r="F21" s="67" t="n">
        <v>5660</v>
      </c>
    </row>
    <row r="22">
      <c r="A22" s="66" t="inlineStr">
        <is>
          <t>13.5%</t>
        </is>
      </c>
      <c r="B22" s="67" t="n">
        <v>4395</v>
      </c>
      <c r="C22" s="67" t="n">
        <v>4560</v>
      </c>
      <c r="D22" s="67" t="n">
        <v>4755</v>
      </c>
      <c r="E22" s="67" t="n">
        <v>4990</v>
      </c>
      <c r="F22" s="67" t="n">
        <v>5265</v>
      </c>
    </row>
    <row r="23"/>
    <row r="24"/>
    <row r="25">
      <c r="A25" s="2" t="inlineStr">
        <is>
          <t>PART C: TWO-WAY SENSITIVITY 2 — CAMS TARGET PRICE (₹) TO EQUITY AAUM CAGR VS. YIELD COMPRESSION</t>
        </is>
      </c>
    </row>
    <row r="26">
      <c r="A26" s="24" t="inlineStr">
        <is>
          <t>Equity AAUM CAGR / Yield Cut</t>
        </is>
      </c>
      <c r="B26" s="24" t="inlineStr">
        <is>
          <t>-1.5% p.a.</t>
        </is>
      </c>
      <c r="C26" s="24" t="inlineStr">
        <is>
          <t>-2.2% p.a.</t>
        </is>
      </c>
      <c r="D26" s="24" t="inlineStr">
        <is>
          <t>-2.8% p.a. (Base)</t>
        </is>
      </c>
      <c r="E26" s="24" t="inlineStr">
        <is>
          <t>-3.5% p.a.</t>
        </is>
      </c>
      <c r="F26" s="24" t="inlineStr">
        <is>
          <t>-4.5% p.a.</t>
        </is>
      </c>
    </row>
    <row r="27">
      <c r="A27" s="66" t="inlineStr">
        <is>
          <t>15.0% (Market Correction)</t>
        </is>
      </c>
      <c r="B27" s="67" t="n">
        <v>4780</v>
      </c>
      <c r="C27" s="67" t="n">
        <v>4620</v>
      </c>
      <c r="D27" s="67" t="n">
        <v>4480</v>
      </c>
      <c r="E27" s="67" t="n">
        <v>4310</v>
      </c>
      <c r="F27" s="67" t="n">
        <v>4080</v>
      </c>
    </row>
    <row r="28">
      <c r="A28" s="66" t="inlineStr">
        <is>
          <t>19.0% (Moderate)</t>
        </is>
      </c>
      <c r="B28" s="67" t="n">
        <v>5320</v>
      </c>
      <c r="C28" s="67" t="n">
        <v>5140</v>
      </c>
      <c r="D28" s="67" t="n">
        <v>4980</v>
      </c>
      <c r="E28" s="67" t="n">
        <v>4790</v>
      </c>
      <c r="F28" s="67" t="n">
        <v>4540</v>
      </c>
    </row>
    <row r="29">
      <c r="A29" s="66" t="inlineStr">
        <is>
          <t>23.0% (Base Case)</t>
        </is>
      </c>
      <c r="B29" s="67" t="n">
        <v>5865</v>
      </c>
      <c r="C29" s="67" t="n">
        <v>5660</v>
      </c>
      <c r="D29" s="68" t="n">
        <v>5460</v>
      </c>
      <c r="E29" s="67" t="n">
        <v>5250</v>
      </c>
      <c r="F29" s="67" t="n">
        <v>4970</v>
      </c>
    </row>
    <row r="30">
      <c r="A30" s="66" t="inlineStr">
        <is>
          <t>27.0% (Bull SIP Surge)</t>
        </is>
      </c>
      <c r="B30" s="67" t="n">
        <v>6440</v>
      </c>
      <c r="C30" s="67" t="n">
        <v>6210</v>
      </c>
      <c r="D30" s="67" t="n">
        <v>5990</v>
      </c>
      <c r="E30" s="67" t="n">
        <v>5760</v>
      </c>
      <c r="F30" s="67" t="n">
        <v>5450</v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2026-10-28T06:17:24Z</dcterms:created>
  <dcterms:modified xmlns:dcterms="http://purl.org/dc/terms/" xmlns:xsi="http://www.w3.org/2001/XMLSchema-instance" xsi:type="dcterms:W3CDTF">2026-10-28T06:17:24Z</dcterms:modified>
</cp:coreProperties>
</file>